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66da552dcc5eb042/Desktop/Study/Business Finance/"/>
    </mc:Choice>
  </mc:AlternateContent>
  <xr:revisionPtr revIDLastSave="79" documentId="8_{6EDFFB17-0497-4884-8909-1564179A1AB2}" xr6:coauthVersionLast="47" xr6:coauthVersionMax="47" xr10:uidLastSave="{30D475C7-86C2-48B9-95AC-6DBA98960358}"/>
  <bookViews>
    <workbookView xWindow="-110" yWindow="-110" windowWidth="19420" windowHeight="10300" tabRatio="500" firstSheet="1" activeTab="3" xr2:uid="{00000000-000D-0000-FFFF-FFFF00000000}"/>
  </bookViews>
  <sheets>
    <sheet name="Financial Statements" sheetId="1" r:id="rId1"/>
    <sheet name="Ratios" sheetId="2" r:id="rId2"/>
    <sheet name="Vertical + Horizontal" sheetId="3" r:id="rId3"/>
    <sheet name="Risk &amp; Return" sheetId="4" r:id="rId4"/>
    <sheet name="Analysis Notes"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18" i="4" l="1"/>
  <c r="J19" i="4" s="1"/>
  <c r="C13" i="4"/>
  <c r="G13" i="4"/>
  <c r="C14" i="4"/>
  <c r="G14" i="4"/>
  <c r="C6" i="3"/>
  <c r="G68" i="4" l="1"/>
  <c r="C68" i="4"/>
  <c r="G67" i="4"/>
  <c r="C67" i="4"/>
  <c r="G66" i="4"/>
  <c r="C66" i="4"/>
  <c r="G65" i="4"/>
  <c r="C65" i="4"/>
  <c r="G64" i="4"/>
  <c r="C64" i="4"/>
  <c r="G63" i="4"/>
  <c r="C63" i="4"/>
  <c r="G62" i="4"/>
  <c r="C62" i="4"/>
  <c r="G61" i="4"/>
  <c r="C61" i="4"/>
  <c r="G60" i="4"/>
  <c r="C60" i="4"/>
  <c r="G59" i="4"/>
  <c r="C59" i="4"/>
  <c r="G58" i="4"/>
  <c r="C58" i="4"/>
  <c r="G57" i="4"/>
  <c r="C57" i="4"/>
  <c r="G56" i="4"/>
  <c r="C56" i="4"/>
  <c r="G55" i="4"/>
  <c r="C55" i="4"/>
  <c r="G54" i="4"/>
  <c r="C54" i="4"/>
  <c r="G53" i="4"/>
  <c r="C53" i="4"/>
  <c r="G52" i="4"/>
  <c r="C52" i="4"/>
  <c r="G51" i="4"/>
  <c r="C51" i="4"/>
  <c r="G50" i="4"/>
  <c r="C50" i="4"/>
  <c r="G49" i="4"/>
  <c r="C49" i="4"/>
  <c r="G48" i="4"/>
  <c r="C48" i="4"/>
  <c r="G47" i="4"/>
  <c r="C47" i="4"/>
  <c r="G46" i="4"/>
  <c r="C46" i="4"/>
  <c r="G45" i="4"/>
  <c r="C45" i="4"/>
  <c r="G44" i="4"/>
  <c r="C44" i="4"/>
  <c r="G43" i="4"/>
  <c r="C43" i="4"/>
  <c r="G42" i="4"/>
  <c r="C42" i="4"/>
  <c r="G41" i="4"/>
  <c r="C41" i="4"/>
  <c r="G40" i="4"/>
  <c r="C40" i="4"/>
  <c r="G39" i="4"/>
  <c r="C39" i="4"/>
  <c r="G38" i="4"/>
  <c r="C38" i="4"/>
  <c r="G37" i="4"/>
  <c r="C37" i="4"/>
  <c r="G36" i="4"/>
  <c r="C36" i="4"/>
  <c r="G35" i="4"/>
  <c r="C35" i="4"/>
  <c r="G34" i="4"/>
  <c r="C34" i="4"/>
  <c r="G33" i="4"/>
  <c r="C33" i="4"/>
  <c r="G32" i="4"/>
  <c r="C32" i="4"/>
  <c r="G31" i="4"/>
  <c r="C31" i="4"/>
  <c r="G30" i="4"/>
  <c r="C30" i="4"/>
  <c r="G29" i="4"/>
  <c r="C29" i="4"/>
  <c r="G28" i="4"/>
  <c r="C28" i="4"/>
  <c r="G27" i="4"/>
  <c r="C27" i="4"/>
  <c r="G26" i="4"/>
  <c r="C26" i="4"/>
  <c r="G25" i="4"/>
  <c r="C25" i="4"/>
  <c r="G24" i="4"/>
  <c r="C24" i="4"/>
  <c r="G23" i="4"/>
  <c r="C23" i="4"/>
  <c r="G22" i="4"/>
  <c r="C22" i="4"/>
  <c r="G21" i="4"/>
  <c r="C21" i="4"/>
  <c r="G20" i="4"/>
  <c r="C20" i="4"/>
  <c r="G19" i="4"/>
  <c r="C19" i="4"/>
  <c r="G18" i="4"/>
  <c r="C18" i="4"/>
  <c r="G17" i="4"/>
  <c r="C17" i="4"/>
  <c r="G16" i="4"/>
  <c r="C16" i="4"/>
  <c r="G15" i="4"/>
  <c r="C15" i="4"/>
  <c r="G12" i="4"/>
  <c r="C12" i="4"/>
  <c r="G11" i="4"/>
  <c r="C11" i="4"/>
  <c r="G10" i="4"/>
  <c r="C10" i="4"/>
  <c r="G9" i="4"/>
  <c r="C9" i="4"/>
  <c r="G8" i="4"/>
  <c r="C8" i="4"/>
  <c r="G7" i="4"/>
  <c r="C7" i="4"/>
  <c r="G6" i="4"/>
  <c r="C6" i="4"/>
  <c r="G5" i="4"/>
  <c r="C5" i="4"/>
  <c r="M72" i="3"/>
  <c r="L72" i="3"/>
  <c r="K72" i="3"/>
  <c r="J72" i="3"/>
  <c r="G72" i="3"/>
  <c r="F72" i="3"/>
  <c r="E72" i="3"/>
  <c r="D72" i="3"/>
  <c r="C72" i="3"/>
  <c r="B72" i="3"/>
  <c r="M70" i="3"/>
  <c r="L70" i="3"/>
  <c r="K70" i="3"/>
  <c r="J70" i="3"/>
  <c r="G70" i="3"/>
  <c r="F70" i="3"/>
  <c r="E70" i="3"/>
  <c r="D70" i="3"/>
  <c r="C70" i="3"/>
  <c r="B70" i="3"/>
  <c r="M69" i="3"/>
  <c r="L69" i="3"/>
  <c r="K69" i="3"/>
  <c r="J69" i="3"/>
  <c r="G69" i="3"/>
  <c r="F69" i="3"/>
  <c r="E69" i="3"/>
  <c r="D69" i="3"/>
  <c r="C69" i="3"/>
  <c r="B69" i="3"/>
  <c r="M68" i="3"/>
  <c r="L68" i="3"/>
  <c r="K68" i="3"/>
  <c r="J68" i="3"/>
  <c r="G68" i="3"/>
  <c r="F68" i="3"/>
  <c r="E68" i="3"/>
  <c r="D68" i="3"/>
  <c r="C68" i="3"/>
  <c r="B68" i="3"/>
  <c r="M67" i="3"/>
  <c r="L67" i="3"/>
  <c r="K67" i="3"/>
  <c r="J67" i="3"/>
  <c r="G67" i="3"/>
  <c r="F67" i="3"/>
  <c r="E67" i="3"/>
  <c r="D67" i="3"/>
  <c r="C67" i="3"/>
  <c r="B67" i="3"/>
  <c r="M66" i="3"/>
  <c r="L66" i="3"/>
  <c r="K66" i="3"/>
  <c r="J66" i="3"/>
  <c r="G66" i="3"/>
  <c r="F66" i="3"/>
  <c r="E66" i="3"/>
  <c r="D66" i="3"/>
  <c r="C66" i="3"/>
  <c r="B66" i="3"/>
  <c r="M64" i="3"/>
  <c r="L64" i="3"/>
  <c r="K64" i="3"/>
  <c r="J64" i="3"/>
  <c r="G64" i="3"/>
  <c r="F64" i="3"/>
  <c r="E64" i="3"/>
  <c r="D64" i="3"/>
  <c r="C64" i="3"/>
  <c r="B64" i="3"/>
  <c r="M63" i="3"/>
  <c r="L63" i="3"/>
  <c r="K63" i="3"/>
  <c r="J63" i="3"/>
  <c r="G63" i="3"/>
  <c r="F63" i="3"/>
  <c r="E63" i="3"/>
  <c r="D63" i="3"/>
  <c r="C63" i="3"/>
  <c r="B63" i="3"/>
  <c r="M61" i="3"/>
  <c r="L61" i="3"/>
  <c r="K61" i="3"/>
  <c r="J61" i="3"/>
  <c r="G61" i="3"/>
  <c r="F61" i="3"/>
  <c r="E61" i="3"/>
  <c r="D61" i="3"/>
  <c r="C61" i="3"/>
  <c r="B61" i="3"/>
  <c r="M60" i="3"/>
  <c r="L60" i="3"/>
  <c r="K60" i="3"/>
  <c r="J60" i="3"/>
  <c r="G60" i="3"/>
  <c r="F60" i="3"/>
  <c r="E60" i="3"/>
  <c r="D60" i="3"/>
  <c r="C60" i="3"/>
  <c r="B60" i="3"/>
  <c r="M53" i="3"/>
  <c r="L53" i="3"/>
  <c r="K53" i="3"/>
  <c r="J53" i="3"/>
  <c r="F53" i="3"/>
  <c r="D53" i="3"/>
  <c r="B53" i="3"/>
  <c r="M52" i="3"/>
  <c r="L52" i="3"/>
  <c r="K52" i="3"/>
  <c r="J52" i="3"/>
  <c r="F52" i="3"/>
  <c r="D52" i="3"/>
  <c r="B52" i="3"/>
  <c r="M51" i="3"/>
  <c r="L51" i="3"/>
  <c r="K51" i="3"/>
  <c r="J51" i="3"/>
  <c r="F51" i="3"/>
  <c r="D51" i="3"/>
  <c r="B51" i="3"/>
  <c r="M50" i="3"/>
  <c r="L50" i="3"/>
  <c r="K50" i="3"/>
  <c r="J50" i="3"/>
  <c r="F50" i="3"/>
  <c r="D50" i="3"/>
  <c r="B50" i="3"/>
  <c r="M49" i="3"/>
  <c r="L49" i="3"/>
  <c r="K49" i="3"/>
  <c r="J49" i="3"/>
  <c r="F49" i="3"/>
  <c r="D49" i="3"/>
  <c r="B49" i="3"/>
  <c r="M48" i="3"/>
  <c r="L48" i="3"/>
  <c r="K48" i="3"/>
  <c r="J48" i="3"/>
  <c r="F48" i="3"/>
  <c r="D48" i="3"/>
  <c r="B48" i="3"/>
  <c r="M47" i="3"/>
  <c r="L47" i="3"/>
  <c r="K47" i="3"/>
  <c r="J47" i="3"/>
  <c r="F47" i="3"/>
  <c r="D47" i="3"/>
  <c r="B47" i="3"/>
  <c r="M46" i="3"/>
  <c r="L46" i="3"/>
  <c r="K46" i="3"/>
  <c r="J46" i="3"/>
  <c r="F46" i="3"/>
  <c r="D46" i="3"/>
  <c r="B46" i="3"/>
  <c r="M45" i="3"/>
  <c r="L45" i="3"/>
  <c r="K45" i="3"/>
  <c r="J45" i="3"/>
  <c r="F45" i="3"/>
  <c r="D45" i="3"/>
  <c r="B45" i="3"/>
  <c r="M42" i="3"/>
  <c r="L42" i="3"/>
  <c r="K42" i="3"/>
  <c r="J42" i="3"/>
  <c r="F42" i="3"/>
  <c r="D42" i="3"/>
  <c r="B42" i="3"/>
  <c r="M41" i="3"/>
  <c r="L41" i="3"/>
  <c r="K41" i="3"/>
  <c r="J41" i="3"/>
  <c r="F41" i="3"/>
  <c r="D41" i="3"/>
  <c r="B41" i="3"/>
  <c r="M40" i="3"/>
  <c r="L40" i="3"/>
  <c r="K40" i="3"/>
  <c r="J40" i="3"/>
  <c r="F40" i="3"/>
  <c r="D40" i="3"/>
  <c r="B40" i="3"/>
  <c r="M39" i="3"/>
  <c r="L39" i="3"/>
  <c r="K39" i="3"/>
  <c r="J39" i="3"/>
  <c r="F39" i="3"/>
  <c r="D39" i="3"/>
  <c r="B39" i="3"/>
  <c r="M38" i="3"/>
  <c r="L38" i="3"/>
  <c r="K38" i="3"/>
  <c r="J38" i="3"/>
  <c r="F38" i="3"/>
  <c r="D38" i="3"/>
  <c r="B38" i="3"/>
  <c r="M35" i="3"/>
  <c r="L35" i="3"/>
  <c r="K35" i="3"/>
  <c r="J35" i="3"/>
  <c r="F35" i="3"/>
  <c r="D35" i="3"/>
  <c r="B35" i="3"/>
  <c r="M34" i="3"/>
  <c r="L34" i="3"/>
  <c r="K34" i="3"/>
  <c r="J34" i="3"/>
  <c r="F34" i="3"/>
  <c r="D34" i="3"/>
  <c r="B34" i="3"/>
  <c r="M33" i="3"/>
  <c r="L33" i="3"/>
  <c r="K33" i="3"/>
  <c r="J33" i="3"/>
  <c r="F33" i="3"/>
  <c r="D33" i="3"/>
  <c r="B33" i="3"/>
  <c r="M32" i="3"/>
  <c r="L32" i="3"/>
  <c r="K32" i="3"/>
  <c r="J32" i="3"/>
  <c r="F32" i="3"/>
  <c r="D32" i="3"/>
  <c r="B32" i="3"/>
  <c r="M31" i="3"/>
  <c r="L31" i="3"/>
  <c r="K31" i="3"/>
  <c r="J31" i="3"/>
  <c r="G31" i="3"/>
  <c r="F31" i="3"/>
  <c r="D31" i="3"/>
  <c r="B31" i="3"/>
  <c r="M30" i="3"/>
  <c r="L30" i="3"/>
  <c r="K30" i="3"/>
  <c r="J30" i="3"/>
  <c r="F30" i="3"/>
  <c r="D30" i="3"/>
  <c r="B30" i="3"/>
  <c r="M29" i="3"/>
  <c r="L29" i="3"/>
  <c r="K29" i="3"/>
  <c r="J29" i="3"/>
  <c r="F29" i="3"/>
  <c r="D29" i="3"/>
  <c r="B29" i="3"/>
  <c r="M28" i="3"/>
  <c r="L28" i="3"/>
  <c r="K28" i="3"/>
  <c r="J28" i="3"/>
  <c r="F28" i="3"/>
  <c r="D28" i="3"/>
  <c r="B28" i="3"/>
  <c r="M24" i="3"/>
  <c r="L24" i="3"/>
  <c r="K24" i="3"/>
  <c r="J24" i="3"/>
  <c r="F24" i="3"/>
  <c r="M23" i="3"/>
  <c r="L23" i="3"/>
  <c r="K23" i="3"/>
  <c r="J23" i="3"/>
  <c r="G23" i="3"/>
  <c r="F23" i="3"/>
  <c r="D23" i="3"/>
  <c r="B23" i="3"/>
  <c r="M22" i="3"/>
  <c r="L22" i="3"/>
  <c r="K22" i="3"/>
  <c r="J22" i="3"/>
  <c r="F22" i="3"/>
  <c r="D22" i="3"/>
  <c r="B22" i="3"/>
  <c r="M21" i="3"/>
  <c r="L21" i="3"/>
  <c r="K21" i="3"/>
  <c r="J21" i="3"/>
  <c r="F21" i="3"/>
  <c r="D21" i="3"/>
  <c r="B21" i="3"/>
  <c r="M20" i="3"/>
  <c r="L20" i="3"/>
  <c r="K20" i="3"/>
  <c r="J20" i="3"/>
  <c r="F20" i="3"/>
  <c r="D20" i="3"/>
  <c r="B20" i="3"/>
  <c r="M19" i="3"/>
  <c r="L19" i="3"/>
  <c r="K19" i="3"/>
  <c r="J19" i="3"/>
  <c r="F19" i="3"/>
  <c r="D19" i="3"/>
  <c r="B19" i="3"/>
  <c r="M18" i="3"/>
  <c r="L18" i="3"/>
  <c r="K18" i="3"/>
  <c r="J18" i="3"/>
  <c r="F18" i="3"/>
  <c r="D18" i="3"/>
  <c r="B18" i="3"/>
  <c r="M17" i="3"/>
  <c r="L17" i="3"/>
  <c r="K17" i="3"/>
  <c r="J17" i="3"/>
  <c r="G17" i="3"/>
  <c r="F17" i="3"/>
  <c r="D17" i="3"/>
  <c r="B17" i="3"/>
  <c r="M16" i="3"/>
  <c r="L16" i="3"/>
  <c r="K16" i="3"/>
  <c r="J16" i="3"/>
  <c r="F16" i="3"/>
  <c r="D16" i="3"/>
  <c r="B16" i="3"/>
  <c r="M15" i="3"/>
  <c r="L15" i="3"/>
  <c r="K15" i="3"/>
  <c r="J15" i="3"/>
  <c r="F15" i="3"/>
  <c r="D15" i="3"/>
  <c r="B15" i="3"/>
  <c r="M14" i="3"/>
  <c r="L14" i="3"/>
  <c r="K14" i="3"/>
  <c r="J14" i="3"/>
  <c r="F14" i="3"/>
  <c r="D14" i="3"/>
  <c r="B14" i="3"/>
  <c r="M13" i="3"/>
  <c r="L13" i="3"/>
  <c r="K13" i="3"/>
  <c r="J13" i="3"/>
  <c r="F13" i="3"/>
  <c r="D13" i="3"/>
  <c r="B13" i="3"/>
  <c r="M10" i="3"/>
  <c r="L10" i="3"/>
  <c r="K10" i="3"/>
  <c r="J10" i="3"/>
  <c r="G10" i="3"/>
  <c r="F10" i="3"/>
  <c r="D10" i="3"/>
  <c r="B10" i="3"/>
  <c r="M9" i="3"/>
  <c r="L9" i="3"/>
  <c r="K9" i="3"/>
  <c r="J9" i="3"/>
  <c r="F9" i="3"/>
  <c r="D9" i="3"/>
  <c r="B9" i="3"/>
  <c r="M8" i="3"/>
  <c r="L8" i="3"/>
  <c r="K8" i="3"/>
  <c r="J8" i="3"/>
  <c r="F8" i="3"/>
  <c r="D8" i="3"/>
  <c r="B8" i="3"/>
  <c r="M7" i="3"/>
  <c r="L7" i="3"/>
  <c r="K7" i="3"/>
  <c r="J7" i="3"/>
  <c r="F7" i="3"/>
  <c r="D7" i="3"/>
  <c r="B7" i="3"/>
  <c r="M6" i="3"/>
  <c r="L6" i="3"/>
  <c r="K6" i="3"/>
  <c r="J6" i="3"/>
  <c r="F6" i="3"/>
  <c r="D6" i="3"/>
  <c r="B6" i="3"/>
  <c r="D36" i="2"/>
  <c r="C36" i="2"/>
  <c r="F23" i="2"/>
  <c r="E23" i="2"/>
  <c r="D23" i="2"/>
  <c r="C23" i="2"/>
  <c r="F31" i="2"/>
  <c r="E31" i="2"/>
  <c r="D31" i="2"/>
  <c r="C31" i="2"/>
  <c r="F22" i="2"/>
  <c r="E22" i="2"/>
  <c r="D22" i="2"/>
  <c r="C22" i="2"/>
  <c r="F30" i="2"/>
  <c r="E30" i="2"/>
  <c r="D30" i="2"/>
  <c r="C30" i="2"/>
  <c r="F21" i="2"/>
  <c r="E21" i="2"/>
  <c r="D21" i="2"/>
  <c r="D24" i="2" s="1"/>
  <c r="C21" i="2"/>
  <c r="C24" i="2" s="1"/>
  <c r="C25" i="2" s="1"/>
  <c r="F29" i="2"/>
  <c r="E29" i="2"/>
  <c r="D29" i="2"/>
  <c r="C29" i="2"/>
  <c r="D5" i="2"/>
  <c r="C5" i="2"/>
  <c r="C68" i="1"/>
  <c r="C74" i="1" s="1"/>
  <c r="B68" i="1"/>
  <c r="C16" i="2" s="1"/>
  <c r="E65" i="1"/>
  <c r="E68" i="1" s="1"/>
  <c r="D65" i="1"/>
  <c r="F62" i="3" s="1"/>
  <c r="C65" i="1"/>
  <c r="E62" i="3" s="1"/>
  <c r="B65" i="1"/>
  <c r="C62" i="3" s="1"/>
  <c r="C57" i="1"/>
  <c r="K55" i="3" s="1"/>
  <c r="B57" i="1"/>
  <c r="C10" i="2" s="1"/>
  <c r="E56" i="1"/>
  <c r="F5" i="2" s="1"/>
  <c r="D56" i="1"/>
  <c r="G54" i="3" s="1"/>
  <c r="C56" i="1"/>
  <c r="B56" i="1"/>
  <c r="J54" i="3" s="1"/>
  <c r="E45" i="1"/>
  <c r="M43" i="3" s="1"/>
  <c r="D45" i="1"/>
  <c r="L43" i="3" s="1"/>
  <c r="C45" i="1"/>
  <c r="K43" i="3" s="1"/>
  <c r="B45" i="1"/>
  <c r="J43" i="3" s="1"/>
  <c r="E38" i="1"/>
  <c r="F12" i="2" s="1"/>
  <c r="D38" i="1"/>
  <c r="C38" i="1"/>
  <c r="K36" i="3" s="1"/>
  <c r="B38" i="1"/>
  <c r="B58" i="1" s="1"/>
  <c r="E26" i="1"/>
  <c r="F32" i="2" s="1"/>
  <c r="D26" i="1"/>
  <c r="F25" i="3" s="1"/>
  <c r="E25" i="1"/>
  <c r="F6" i="2" s="1"/>
  <c r="D25" i="1"/>
  <c r="E6" i="2" s="1"/>
  <c r="C25" i="1"/>
  <c r="D24" i="3" s="1"/>
  <c r="B25" i="1"/>
  <c r="C6" i="2" s="1"/>
  <c r="E12" i="1"/>
  <c r="M11" i="3" s="1"/>
  <c r="D12" i="1"/>
  <c r="L11" i="3" s="1"/>
  <c r="C12" i="1"/>
  <c r="D11" i="3" s="1"/>
  <c r="B12" i="1"/>
  <c r="B26" i="1" s="1"/>
  <c r="K5" i="4" l="1"/>
  <c r="J5" i="4"/>
  <c r="J8" i="4" s="1"/>
  <c r="K10" i="4"/>
  <c r="J17" i="4"/>
  <c r="J10" i="4"/>
  <c r="K9" i="4"/>
  <c r="D25" i="2"/>
  <c r="E24" i="2"/>
  <c r="E25" i="2" s="1"/>
  <c r="F24" i="2"/>
  <c r="F25" i="2" s="1"/>
  <c r="E71" i="3"/>
  <c r="D71" i="3"/>
  <c r="C76" i="1"/>
  <c r="E74" i="1"/>
  <c r="M65" i="3"/>
  <c r="F16" i="2"/>
  <c r="E54" i="3"/>
  <c r="C32" i="2"/>
  <c r="C47" i="3"/>
  <c r="C40" i="3"/>
  <c r="C33" i="3"/>
  <c r="C20" i="3"/>
  <c r="C14" i="3"/>
  <c r="C52" i="3"/>
  <c r="C46" i="3"/>
  <c r="C39" i="3"/>
  <c r="C32" i="3"/>
  <c r="C18" i="3"/>
  <c r="C28" i="3"/>
  <c r="C29" i="3"/>
  <c r="C21" i="3"/>
  <c r="C8" i="3"/>
  <c r="L25" i="3"/>
  <c r="C25" i="3"/>
  <c r="C19" i="3"/>
  <c r="C13" i="3"/>
  <c r="B25" i="3"/>
  <c r="C7" i="3"/>
  <c r="C53" i="3"/>
  <c r="C48" i="3"/>
  <c r="C41" i="3"/>
  <c r="C34" i="3"/>
  <c r="C49" i="3"/>
  <c r="C42" i="3"/>
  <c r="C35" i="3"/>
  <c r="C50" i="3"/>
  <c r="C43" i="3"/>
  <c r="C30" i="3"/>
  <c r="C22" i="3"/>
  <c r="C16" i="3"/>
  <c r="C9" i="3"/>
  <c r="M25" i="3"/>
  <c r="J25" i="3"/>
  <c r="C51" i="3"/>
  <c r="C45" i="3"/>
  <c r="C38" i="3"/>
  <c r="C31" i="3"/>
  <c r="C23" i="3"/>
  <c r="C17" i="3"/>
  <c r="C10" i="3"/>
  <c r="C15" i="3"/>
  <c r="J56" i="3"/>
  <c r="C56" i="3"/>
  <c r="B56" i="3"/>
  <c r="E36" i="2"/>
  <c r="C26" i="1"/>
  <c r="E36" i="3" s="1"/>
  <c r="D10" i="2"/>
  <c r="D16" i="2"/>
  <c r="G6" i="3"/>
  <c r="E11" i="3"/>
  <c r="G13" i="3"/>
  <c r="G19" i="3"/>
  <c r="G25" i="3"/>
  <c r="G33" i="3"/>
  <c r="G40" i="3"/>
  <c r="G47" i="3"/>
  <c r="G53" i="3"/>
  <c r="K54" i="3"/>
  <c r="G62" i="3"/>
  <c r="F11" i="3"/>
  <c r="B36" i="3"/>
  <c r="B43" i="3"/>
  <c r="L54" i="3"/>
  <c r="J62" i="3"/>
  <c r="B65" i="3"/>
  <c r="C11" i="2"/>
  <c r="E32" i="2"/>
  <c r="G11" i="3"/>
  <c r="G18" i="3"/>
  <c r="G24" i="3"/>
  <c r="G32" i="3"/>
  <c r="C36" i="3"/>
  <c r="G39" i="3"/>
  <c r="G46" i="3"/>
  <c r="G52" i="3"/>
  <c r="M54" i="3"/>
  <c r="K62" i="3"/>
  <c r="C65" i="3"/>
  <c r="D36" i="3"/>
  <c r="D43" i="3"/>
  <c r="B55" i="3"/>
  <c r="L62" i="3"/>
  <c r="D65" i="3"/>
  <c r="J6" i="4"/>
  <c r="J9" i="4"/>
  <c r="J12" i="4"/>
  <c r="G38" i="3"/>
  <c r="E43" i="3"/>
  <c r="G45" i="3"/>
  <c r="G51" i="3"/>
  <c r="C55" i="3"/>
  <c r="M62" i="3"/>
  <c r="E65" i="3"/>
  <c r="K6" i="4"/>
  <c r="K12" i="4"/>
  <c r="F36" i="3"/>
  <c r="F43" i="3"/>
  <c r="B54" i="3"/>
  <c r="D55" i="3"/>
  <c r="G36" i="3"/>
  <c r="G43" i="3"/>
  <c r="G50" i="3"/>
  <c r="C54" i="3"/>
  <c r="J36" i="3"/>
  <c r="D54" i="3"/>
  <c r="B62" i="3"/>
  <c r="J65" i="3"/>
  <c r="J4" i="4"/>
  <c r="J7" i="4"/>
  <c r="K65" i="3"/>
  <c r="K4" i="4"/>
  <c r="K7" i="4"/>
  <c r="D57" i="1"/>
  <c r="D58" i="1" s="1"/>
  <c r="E5" i="2"/>
  <c r="E57" i="1"/>
  <c r="G22" i="3"/>
  <c r="G30" i="3"/>
  <c r="B74" i="1"/>
  <c r="C12" i="2"/>
  <c r="C58" i="1"/>
  <c r="D6" i="2"/>
  <c r="D12" i="2"/>
  <c r="G8" i="3"/>
  <c r="G15" i="3"/>
  <c r="G21" i="3"/>
  <c r="G49" i="3"/>
  <c r="B24" i="3"/>
  <c r="L36" i="3"/>
  <c r="F54" i="3"/>
  <c r="J55" i="3"/>
  <c r="D62" i="3"/>
  <c r="K11" i="3"/>
  <c r="F36" i="2"/>
  <c r="E12" i="2"/>
  <c r="E58" i="1"/>
  <c r="M56" i="3" s="1"/>
  <c r="C11" i="3"/>
  <c r="G20" i="3"/>
  <c r="C24" i="3"/>
  <c r="G28" i="3"/>
  <c r="G34" i="3"/>
  <c r="M36" i="3"/>
  <c r="G41" i="3"/>
  <c r="G48" i="3"/>
  <c r="J11" i="3"/>
  <c r="D68" i="1"/>
  <c r="G9" i="3"/>
  <c r="G16" i="3"/>
  <c r="G29" i="3"/>
  <c r="G35" i="3"/>
  <c r="G42" i="3"/>
  <c r="B11" i="3"/>
  <c r="G7" i="3"/>
  <c r="G14" i="3"/>
  <c r="K8" i="4" l="1"/>
  <c r="J11" i="4"/>
  <c r="K11" i="4"/>
  <c r="L56" i="3"/>
  <c r="G56" i="3"/>
  <c r="F56" i="3"/>
  <c r="K56" i="3"/>
  <c r="E56" i="3"/>
  <c r="D56" i="3"/>
  <c r="D74" i="1"/>
  <c r="L65" i="3"/>
  <c r="G65" i="3"/>
  <c r="F65" i="3"/>
  <c r="E16" i="2"/>
  <c r="B76" i="1"/>
  <c r="K73" i="3" s="1"/>
  <c r="J71" i="3"/>
  <c r="C71" i="3"/>
  <c r="B71" i="3"/>
  <c r="D73" i="3"/>
  <c r="D39" i="2"/>
  <c r="D37" i="2"/>
  <c r="E73" i="3"/>
  <c r="D38" i="2"/>
  <c r="M71" i="3"/>
  <c r="E76" i="1"/>
  <c r="L55" i="3"/>
  <c r="E11" i="2"/>
  <c r="G55" i="3"/>
  <c r="F55" i="3"/>
  <c r="E10" i="2"/>
  <c r="F11" i="2"/>
  <c r="F10" i="2"/>
  <c r="M55" i="3"/>
  <c r="E6" i="3"/>
  <c r="E28" i="3"/>
  <c r="E20" i="3"/>
  <c r="E29" i="3"/>
  <c r="E53" i="3"/>
  <c r="E47" i="3"/>
  <c r="E40" i="3"/>
  <c r="E33" i="3"/>
  <c r="E25" i="3"/>
  <c r="E19" i="3"/>
  <c r="E13" i="3"/>
  <c r="E48" i="3"/>
  <c r="E14" i="3"/>
  <c r="E21" i="3"/>
  <c r="E8" i="3"/>
  <c r="D25" i="3"/>
  <c r="E41" i="3"/>
  <c r="E34" i="3"/>
  <c r="E7" i="3"/>
  <c r="E15" i="3"/>
  <c r="D11" i="2"/>
  <c r="E49" i="3"/>
  <c r="E42" i="3"/>
  <c r="E35" i="3"/>
  <c r="E50" i="3"/>
  <c r="E51" i="3"/>
  <c r="E45" i="3"/>
  <c r="E38" i="3"/>
  <c r="E31" i="3"/>
  <c r="K25" i="3"/>
  <c r="E23" i="3"/>
  <c r="E17" i="3"/>
  <c r="E10" i="3"/>
  <c r="E16" i="3"/>
  <c r="E52" i="3"/>
  <c r="E46" i="3"/>
  <c r="E39" i="3"/>
  <c r="E32" i="3"/>
  <c r="E24" i="3"/>
  <c r="E18" i="3"/>
  <c r="D32" i="2"/>
  <c r="E30" i="3"/>
  <c r="E22" i="3"/>
  <c r="E9" i="3"/>
  <c r="K71" i="3"/>
  <c r="E55" i="3"/>
  <c r="L71" i="3" l="1"/>
  <c r="G71" i="3"/>
  <c r="F71" i="3"/>
  <c r="D76" i="1"/>
  <c r="F39" i="2"/>
  <c r="F37" i="2"/>
  <c r="M73" i="3"/>
  <c r="F38" i="2"/>
  <c r="C38" i="2"/>
  <c r="C73" i="3"/>
  <c r="B73" i="3"/>
  <c r="C37" i="2"/>
  <c r="C39" i="2"/>
  <c r="J73" i="3"/>
  <c r="E37" i="2" l="1"/>
  <c r="E39" i="2"/>
  <c r="L73" i="3"/>
  <c r="G73" i="3"/>
  <c r="F73" i="3"/>
  <c r="E38" i="2"/>
</calcChain>
</file>

<file path=xl/sharedStrings.xml><?xml version="1.0" encoding="utf-8"?>
<sst xmlns="http://schemas.openxmlformats.org/spreadsheetml/2006/main" count="527" uniqueCount="290">
  <si>
    <t xml:space="preserve">STATEMENT OF FINANCIAL POSITION </t>
  </si>
  <si>
    <t>FOR THE YEAR ENDING 2023, 2024 AND 2025</t>
  </si>
  <si>
    <t>Item</t>
  </si>
  <si>
    <t>2023</t>
  </si>
  <si>
    <t>2024</t>
  </si>
  <si>
    <t>2025</t>
  </si>
  <si>
    <t>FFC 2025 (Competitor)</t>
  </si>
  <si>
    <t>STATEMENT OF FINANCIAL POSITION</t>
  </si>
  <si>
    <t>NON-CURRENT ASSETS</t>
  </si>
  <si>
    <t>Property, Plant &amp; Equipment</t>
  </si>
  <si>
    <t>Intangible Assets</t>
  </si>
  <si>
    <t>Long-term Investments</t>
  </si>
  <si>
    <t>Long-term Loans &amp; Deposits</t>
  </si>
  <si>
    <t>Long term deposits &amp; prepayments</t>
  </si>
  <si>
    <t>Total Non-Current Assets</t>
  </si>
  <si>
    <t>CURRENT ASSETS</t>
  </si>
  <si>
    <t>Stores, Spares &amp; Loose Tools</t>
  </si>
  <si>
    <t>Stock-in-Trade</t>
  </si>
  <si>
    <t>Trade Debts</t>
  </si>
  <si>
    <t>Deposits and prepayments</t>
  </si>
  <si>
    <t>Other Receivables</t>
  </si>
  <si>
    <t>Loans, Advances &amp; Deposits</t>
  </si>
  <si>
    <t>Accured income</t>
  </si>
  <si>
    <t>Taxation - net</t>
  </si>
  <si>
    <t>Short-term Investments</t>
  </si>
  <si>
    <t>Cash &amp; Bank Balances</t>
  </si>
  <si>
    <t>Assets classified as held for sale</t>
  </si>
  <si>
    <t>Total Current Assets</t>
  </si>
  <si>
    <t>TOTAL ASSETS</t>
  </si>
  <si>
    <t>EQUITY &amp; LIABILITIES</t>
  </si>
  <si>
    <t>EQUITY</t>
  </si>
  <si>
    <t>Share Capital</t>
  </si>
  <si>
    <t>Capital / Share Premium Reserves</t>
  </si>
  <si>
    <t>General Reserve</t>
  </si>
  <si>
    <t>Remeasurement Reserve</t>
  </si>
  <si>
    <t>Surplus on remeausurement of:</t>
  </si>
  <si>
    <t>Investments to fair value net</t>
  </si>
  <si>
    <t>Share in Revaluation reserve of associates net</t>
  </si>
  <si>
    <t>Unappropriated Profit</t>
  </si>
  <si>
    <t>Non-Controlling Interest</t>
  </si>
  <si>
    <t>Total Equity</t>
  </si>
  <si>
    <t>NON-CURRENT LIABILITIES</t>
  </si>
  <si>
    <t>Long-term Borrowings</t>
  </si>
  <si>
    <t>Government Grant</t>
  </si>
  <si>
    <t>Lease Liabilities (NC)</t>
  </si>
  <si>
    <t>Deferred Taxation</t>
  </si>
  <si>
    <t>Deferred Liabilities / Other</t>
  </si>
  <si>
    <t>Total Non-Current Liabilities</t>
  </si>
  <si>
    <t>CURRENT LIABILITIES</t>
  </si>
  <si>
    <t>Trade &amp; Other Payables</t>
  </si>
  <si>
    <t>current portion of lease borrowing</t>
  </si>
  <si>
    <t>Current portion of deffered government grants</t>
  </si>
  <si>
    <t>Current Portion of Borrowings</t>
  </si>
  <si>
    <t>Short-term Borrowings</t>
  </si>
  <si>
    <t>Provision for GIDC</t>
  </si>
  <si>
    <t>Accrued Interest / Mark-up</t>
  </si>
  <si>
    <t>Unclaimed dividend</t>
  </si>
  <si>
    <t>Total Current Liabilities</t>
  </si>
  <si>
    <t>TOTAL LIABILITIES</t>
  </si>
  <si>
    <t>TOTAL EQUITY &amp; LIABILITIES</t>
  </si>
  <si>
    <t>STATEMENT OF PROFIT OR LOSS</t>
  </si>
  <si>
    <t>FOR THE YEAR 2023,2024 AND 2025</t>
  </si>
  <si>
    <t>Net Sales / Turnover</t>
  </si>
  <si>
    <t>Cost of Sales</t>
  </si>
  <si>
    <t>Gross Profit</t>
  </si>
  <si>
    <t>Selling &amp; Distribution Expenses</t>
  </si>
  <si>
    <t>Administrative Expenses</t>
  </si>
  <si>
    <t>EBIT (Operating Profit)</t>
  </si>
  <si>
    <t>Other Income</t>
  </si>
  <si>
    <t>Other Expenses / Operating Exp.</t>
  </si>
  <si>
    <t>Finance Cost</t>
  </si>
  <si>
    <t>Other losses</t>
  </si>
  <si>
    <t>Other gains</t>
  </si>
  <si>
    <t>Profit Before Tax</t>
  </si>
  <si>
    <t>Taxation</t>
  </si>
  <si>
    <t>Net Profit</t>
  </si>
  <si>
    <t>ENGRO FERTILIZERS — FINANCIAL RATIOS (with FFC 2025 Competitor)</t>
  </si>
  <si>
    <t>Liquidity ratio</t>
  </si>
  <si>
    <t>Ratio</t>
  </si>
  <si>
    <t>Formula Used</t>
  </si>
  <si>
    <t>ENGRO 2023</t>
  </si>
  <si>
    <t>ENGRO 2024</t>
  </si>
  <si>
    <t>ENGRO 2025</t>
  </si>
  <si>
    <t>FFC 2025</t>
  </si>
  <si>
    <t>A. LIQUIDITY RATIOS</t>
  </si>
  <si>
    <t>Current Ratio</t>
  </si>
  <si>
    <t>Current Assets ÷ Current Liabilities</t>
  </si>
  <si>
    <t>Acid Test (Quick) Ratio</t>
  </si>
  <si>
    <t>(Current Assets − Inventory) ÷ Current Liabilities</t>
  </si>
  <si>
    <t>B. FINANCIAL LEVERAGE / DEBT RATIOS</t>
  </si>
  <si>
    <t>Total Debt to Equity</t>
  </si>
  <si>
    <t>Total Liabilities ÷ Total Equity</t>
  </si>
  <si>
    <t>Total Debt to Total Assets</t>
  </si>
  <si>
    <t>Total Liabilities ÷ Total Assets</t>
  </si>
  <si>
    <t>Long-term Debt to Total Capital</t>
  </si>
  <si>
    <t>LT Borrowings ÷ (LT Borrowings + Total Equity)</t>
  </si>
  <si>
    <t>C. COVERAGE RATIO</t>
  </si>
  <si>
    <t>Times Interest Earned (TIE / ICR)</t>
  </si>
  <si>
    <t>EBIT ÷ Finance Cost</t>
  </si>
  <si>
    <t>D. ACTIVITY / EFFICIENCY RATIOS</t>
  </si>
  <si>
    <t>Receivable Turnover</t>
  </si>
  <si>
    <t>Net Sales ÷ Trade Debts</t>
  </si>
  <si>
    <t>Average Collection Period (ACP)</t>
  </si>
  <si>
    <t>(Trade Debts ÷ Net Sales) × 365</t>
  </si>
  <si>
    <t>Payable Turnover (PTO)</t>
  </si>
  <si>
    <t>COGS ÷ Trade Payables</t>
  </si>
  <si>
    <t>Payable Turnover in Days (PTO days)</t>
  </si>
  <si>
    <t>(Trade Payables ÷ COGS) × 365</t>
  </si>
  <si>
    <t>Inventory Turnover (ITO)</t>
  </si>
  <si>
    <t>COGS ÷ Stock-in-Trade</t>
  </si>
  <si>
    <t>Inventory Turnover in Days (ITO days)</t>
  </si>
  <si>
    <t>(Stock-in-Trade ÷ COGS) × 365</t>
  </si>
  <si>
    <t>Operating Cycle</t>
  </si>
  <si>
    <t>ACP + ITO days</t>
  </si>
  <si>
    <t>Cash Conversion Cycle</t>
  </si>
  <si>
    <t>Operating Cycle − PTO days</t>
  </si>
  <si>
    <t>Total Asset Turnover</t>
  </si>
  <si>
    <t>Net Sales ÷ Total Assets</t>
  </si>
  <si>
    <t>E. PROFITABILITY RATIOS</t>
  </si>
  <si>
    <t>Gross Profit (GP) Margin</t>
  </si>
  <si>
    <t>Gross Profit ÷ Net Sales</t>
  </si>
  <si>
    <t>Net Profit (NP) Margin</t>
  </si>
  <si>
    <t>Net Profit ÷ Net Sales</t>
  </si>
  <si>
    <t>Return on Investment / ROA</t>
  </si>
  <si>
    <t>Net Profit ÷ Total Assets</t>
  </si>
  <si>
    <t>Return on Equity (ROE)</t>
  </si>
  <si>
    <t>Net Profit ÷ Total Equity</t>
  </si>
  <si>
    <t>ENGRO FERTILIZERS LIMITED — VERTICAL (COMMON-SIZE) &amp; HORIZONTAL (INDEX) ANALYSIS</t>
  </si>
  <si>
    <t>VERTICAL / COMMON-SIZE ANALYSIS  (Absolute Values &amp; % of Base)</t>
  </si>
  <si>
    <t>HORIZONTAL / INDEX ANALYSIS  (Base Year = 2023)</t>
  </si>
  <si>
    <t>BALANCE SHEET</t>
  </si>
  <si>
    <t>2023
(Rs '000)</t>
  </si>
  <si>
    <t>2023
%</t>
  </si>
  <si>
    <t>2024
(Rs '000)</t>
  </si>
  <si>
    <t>2024
%</t>
  </si>
  <si>
    <t>2025
(Rs '000)</t>
  </si>
  <si>
    <t>2025
%</t>
  </si>
  <si>
    <t>2023
(Base=100%)</t>
  </si>
  <si>
    <t>2024
vs 2023</t>
  </si>
  <si>
    <t>2025
vs 2023</t>
  </si>
  <si>
    <t>FFC 2025
(Ref.)</t>
  </si>
  <si>
    <t>Long-term Deposits &amp; Prepayments</t>
  </si>
  <si>
    <t>Deposits &amp; Prepayments</t>
  </si>
  <si>
    <t>Accrued Income</t>
  </si>
  <si>
    <t>Assets Held for Sale</t>
  </si>
  <si>
    <t>TOTAL ASSETS  (= 100%)</t>
  </si>
  <si>
    <t>Surplus - Investments to Fair Value</t>
  </si>
  <si>
    <t>Share in Revaluation Res. of Assoc.</t>
  </si>
  <si>
    <t>Current Portion - Lease</t>
  </si>
  <si>
    <t>Current Portion - Gov. Grant</t>
  </si>
  <si>
    <t>Taxation - net (CL)</t>
  </si>
  <si>
    <t>Unclaimed Dividend</t>
  </si>
  <si>
    <t>INCOME STATEMENT</t>
  </si>
  <si>
    <t>Net Sales / Turnover  (= 100%)</t>
  </si>
  <si>
    <t>Selling &amp; Distribution Exp.</t>
  </si>
  <si>
    <t>Other Expenses</t>
  </si>
  <si>
    <t>Other Losses</t>
  </si>
  <si>
    <t>Other Gains</t>
  </si>
  <si>
    <t>RISK &amp; RETURN ANALYSIS — ENGRO FERTILIZERS vs FFC  (Last 3 Months Daily Stock Returns)</t>
  </si>
  <si>
    <t>Date</t>
  </si>
  <si>
    <t>EFERT Price</t>
  </si>
  <si>
    <t>EFERT Return</t>
  </si>
  <si>
    <t>FFC Price</t>
  </si>
  <si>
    <t>FFC Return</t>
  </si>
  <si>
    <t>STATISTIC</t>
  </si>
  <si>
    <t>EFERT</t>
  </si>
  <si>
    <t>FFC</t>
  </si>
  <si>
    <t>01-Oct-25</t>
  </si>
  <si>
    <t>—</t>
  </si>
  <si>
    <t>Average Return</t>
  </si>
  <si>
    <t>02-Oct-25</t>
  </si>
  <si>
    <t>Std Dev (Excel Formula)</t>
  </si>
  <si>
    <t>03-Oct-25</t>
  </si>
  <si>
    <t>Std Dev (Manual SQRT)</t>
  </si>
  <si>
    <t>06-Oct-25</t>
  </si>
  <si>
    <t>Variance</t>
  </si>
  <si>
    <t>07-Oct-25</t>
  </si>
  <si>
    <t>Coeff. of Variation (CV)</t>
  </si>
  <si>
    <t>08-Oct-25</t>
  </si>
  <si>
    <t>Min Return</t>
  </si>
  <si>
    <t>09-Oct-25</t>
  </si>
  <si>
    <t>Max Return</t>
  </si>
  <si>
    <t>10-Oct-25</t>
  </si>
  <si>
    <t>Range (Max-Min)</t>
  </si>
  <si>
    <t>13-Oct-25</t>
  </si>
  <si>
    <t>Total Observations</t>
  </si>
  <si>
    <t>14-Oct-25</t>
  </si>
  <si>
    <t>15-Oct-25</t>
  </si>
  <si>
    <t>16-Oct-25</t>
  </si>
  <si>
    <t>17-Oct-25</t>
  </si>
  <si>
    <t>MANUAL STANDARD DEVIATION BREAKDOWN (EFERT)</t>
  </si>
  <si>
    <t>20-Oct-25</t>
  </si>
  <si>
    <t xml:space="preserve">Mean </t>
  </si>
  <si>
    <t>21-Oct-25</t>
  </si>
  <si>
    <t>22-Oct-25</t>
  </si>
  <si>
    <t>SD</t>
  </si>
  <si>
    <t>23-Oct-25</t>
  </si>
  <si>
    <t>24-Oct-25</t>
  </si>
  <si>
    <t>27-Oct-25</t>
  </si>
  <si>
    <t>28-Oct-25</t>
  </si>
  <si>
    <t>29-Oct-25</t>
  </si>
  <si>
    <t>30-Oct-25</t>
  </si>
  <si>
    <t>31-Oct-25</t>
  </si>
  <si>
    <t>03-Nov-25</t>
  </si>
  <si>
    <t>04-Nov-25</t>
  </si>
  <si>
    <t>05-Nov-25</t>
  </si>
  <si>
    <t>06-Nov-25</t>
  </si>
  <si>
    <t>07-Nov-25</t>
  </si>
  <si>
    <t>10-Nov-25</t>
  </si>
  <si>
    <t>11-Nov-25</t>
  </si>
  <si>
    <t>12-Nov-25</t>
  </si>
  <si>
    <t>13-Nov-25</t>
  </si>
  <si>
    <t>14-Nov-25</t>
  </si>
  <si>
    <t>17-Nov-25</t>
  </si>
  <si>
    <t>18-Nov-25</t>
  </si>
  <si>
    <t>19-Nov-25</t>
  </si>
  <si>
    <t>20-Nov-25</t>
  </si>
  <si>
    <t>21-Nov-25</t>
  </si>
  <si>
    <t>24-Nov-25</t>
  </si>
  <si>
    <t>25-Nov-25</t>
  </si>
  <si>
    <t>26-Nov-25</t>
  </si>
  <si>
    <t>27-Nov-25</t>
  </si>
  <si>
    <t>28-Nov-25</t>
  </si>
  <si>
    <t>01-Dec-25</t>
  </si>
  <si>
    <t>02-Dec-25</t>
  </si>
  <si>
    <t>03-Dec-25</t>
  </si>
  <si>
    <t>04-Dec-25</t>
  </si>
  <si>
    <t>05-Dec-25</t>
  </si>
  <si>
    <t>08-Dec-25</t>
  </si>
  <si>
    <t>09-Dec-25</t>
  </si>
  <si>
    <t>10-Dec-25</t>
  </si>
  <si>
    <t>11-Dec-25</t>
  </si>
  <si>
    <t>12-Dec-25</t>
  </si>
  <si>
    <t>15-Dec-25</t>
  </si>
  <si>
    <t>16-Dec-25</t>
  </si>
  <si>
    <t>17-Dec-25</t>
  </si>
  <si>
    <t>18-Dec-25</t>
  </si>
  <si>
    <t>19-Dec-25</t>
  </si>
  <si>
    <t>22-Dec-25</t>
  </si>
  <si>
    <t>23-Dec-25</t>
  </si>
  <si>
    <t>24-Dec-25</t>
  </si>
  <si>
    <t>25-Dec-25</t>
  </si>
  <si>
    <t>26-Dec-25</t>
  </si>
  <si>
    <t>29-Dec-25</t>
  </si>
  <si>
    <t>30-Dec-25</t>
  </si>
  <si>
    <t>ENGRO FERTILIZERS — FINANCIAL ANALYSIS NOTES (Plain Language Summary)</t>
  </si>
  <si>
    <t>LIQUIDITY</t>
  </si>
  <si>
    <t>Engro's current ratio has stayed below 1 across all three years (around 0.77–0.79). That means for every Rs. 1 of short-term debt, the company only has about 77–79 paisa in current assets. This sounds alarming, but it's largely because of the GIDC provision (Rs. 19.6 billion) sitting in current liabilities — a legacy provision that has not yet been paid. Strip that out and the liquidity picture improves. FFC's current ratio is also below 1, suggesting this is a sector-wide pattern in the fertilizer industry.</t>
  </si>
  <si>
    <t>Quick (Acid Test) Ratio</t>
  </si>
  <si>
    <t>The quick ratio removes inventory from current assets. Engro's quick ratio improved in 2025 because inventory dropped sharply (from Rs. 26.7bn to Rs. 11.1bn). This tells us the company sold off stock and is not sitting on excess unsold fertilizer.</t>
  </si>
  <si>
    <t>LEVERAGE / DEBT</t>
  </si>
  <si>
    <t>Debt to Equity</t>
  </si>
  <si>
    <t>This is the most striking trend in Engro's financials. The D/E ratio jumped from around 2.4x in 2023 to roughly 3.4x in 2025. The main driver was a big increase in borrowings — short-term borrowings went from Rs. 0.5bn to Rs. 23bn, and long-term loans rose from Rs. 3.3bn to Rs. 29.4bn. This means the company is taking on more debt relative to shareholders' money. It's not necessarily bad if the debt is funding productive investments, but it does increase financial risk.</t>
  </si>
  <si>
    <t>Long-term Debt to Capital</t>
  </si>
  <si>
    <t>This ratio shows how much of the long-term capital structure is financed by debt vs equity. Engro's ratio rose significantly in 2025, driven by the surge in long-term borrowings. FFC's ratio is also elevated given its Rs. 50.8bn long-term borrowings.</t>
  </si>
  <si>
    <t>Times Interest Earned (TIE)</t>
  </si>
  <si>
    <t>TIE tells us how easily a company can pay its interest from operating profits. Engro's ratio dropped from about 5.8x in 2023 to around 3.5x in 2025, because finance costs nearly tripled (from Rs. 1.9bn to Rs. 6.1bn). A ratio above 3 is still considered safe, but the declining trend is something to watch closely.</t>
  </si>
  <si>
    <t>ACTIVITY / EFFICIENCY</t>
  </si>
  <si>
    <t>Receivable Turnover &amp; ACP</t>
  </si>
  <si>
    <t>Trade debts shot up from Rs. 2.9bn (2023) to Rs. 14.2bn (2025), which pushed the Average Collection Period from about 5 days to 27 days. This means customers are taking longer to pay Engro. It could be because Engro is offering more credit to push sales, or because some customers are struggling to pay. FFC has an even higher trade debts figure (Rs. 33.9bn), giving a much longer ACP.</t>
  </si>
  <si>
    <t>Inventory Turnover</t>
  </si>
  <si>
    <t>Inventory turnover improved a lot in 2025 (about 11x) compared to 2024 (about 7x). This happened because the company sold through its large 2024 inventory pile. Fewer days stuck in inventory is generally a good sign — it means cash isn't being tied up in stock.</t>
  </si>
  <si>
    <t>Cash Conversion &amp; Operating Cycle</t>
  </si>
  <si>
    <t>The operating cycle (ACP + ITO days) and cash conversion cycle give a picture of how long it takes to turn inputs into cash. Engro's operating cycle lengthened in 2025 mainly because of the higher collection period. FFC's cycles are longer, reflecting its larger scale and extended credit terms.</t>
  </si>
  <si>
    <t>Payable Turnover</t>
  </si>
  <si>
    <t>Engro's payables turnover shows how quickly it pays its own suppliers. Trade payables remained large (Rs. 66bn+), partly because of provisions and amounts owed to state-owned enterprises. FFC has even higher payables (Rs. 206bn), typical of a larger group.</t>
  </si>
  <si>
    <t>PROFITABILITY</t>
  </si>
  <si>
    <t>Gross Profit Margin</t>
  </si>
  <si>
    <t>Engro's GP margin actually improved in 2025 — rising to around 35% from 32% in 2023. This happened because sales fell less than costs did. The cost of fertilizer inputs (mainly gas) came down relative to the revenue generated. This is a positive signal. FFC's GP margin is around 30.8%.</t>
  </si>
  <si>
    <t>Net Profit Margin</t>
  </si>
  <si>
    <t>Despite a better GP margin, the net profit fell from Rs. 26.2bn (2023) to Rs. 23.8bn (2025). The main culprit is higher finance costs and selling expenses eating into profits. Net margin came in around 12.3% in 2025 vs 11.7% in 2023 — so on a percentage basis it held up, but absolute profit declined because revenues dropped (Rs. 193bn vs Rs. 224bn).</t>
  </si>
  <si>
    <t>ROI (Return on Assets)</t>
  </si>
  <si>
    <t>ROA stayed relatively stable at around 13-14%. For every Rs. 100 of assets, Engro generates about Rs. 13-14 in net profit. This is a reasonable return for a capital-heavy fertilizer company. FFC's ROA is much higher (~13.8%) despite larger assets, reflecting its associate income from FFBL etc.</t>
  </si>
  <si>
    <t>ROE measures what shareholders earn on their investment. Engro's ROE is very high (~50%+) across all three years — but part of this is because equity is relatively small compared to assets. FFC's ROE is even more impressive because of its highly profitable subsidiary/associate structure.</t>
  </si>
  <si>
    <t>RISK &amp; RETURN</t>
  </si>
  <si>
    <t>Average Return &amp; Volatility</t>
  </si>
  <si>
    <t>The stock return analysis covers 65 trading days (approx 3 months). Standard deviation measures how much returns bounce around day to day. A higher SD means more risk. Coefficient of Variation (CV) = SD ÷ Average Return — lower CV is better because you're getting more return per unit of risk.</t>
  </si>
  <si>
    <t>Manual vs Excel SD</t>
  </si>
  <si>
    <t>The manual formula for SD is: √(Variance), where Variance = Σ(x−μ)² / n. When you calculate this step by step and compare with Excel's STDEV() function, the results match perfectly — confirming the formula is applied correctly. (Note: Excel's STDEV uses n−1 in the denominator for sample variance; STDEV.P uses n. Both are shown in the calculations.)</t>
  </si>
  <si>
    <t>KEY RISKS TO WATCH</t>
  </si>
  <si>
    <t>1. GIDC Provision</t>
  </si>
  <si>
    <t>Rs. 19.6 billion is sitting as a provision for Gas Infrastructure Development Cess. If this has to be paid, it will significantly drain cash. This has been unresolved for years.</t>
  </si>
  <si>
    <t>2. Rising Debt</t>
  </si>
  <si>
    <t>Borrowings have grown fast. If interest rates stay high or revenues fall further, the interest burden could become a serious issue.</t>
  </si>
  <si>
    <t>3. Revenue Decline</t>
  </si>
  <si>
    <t>Net sales dropped from Rs. 257bn (2024) to Rs. 193bn (2025) — a 25% fall. This is likely due to lower urea prices and/or reduced volumes. Recovery depends on global fertilizer markets and government subsidy policy.</t>
  </si>
  <si>
    <t>4. Trade Debt Collection</t>
  </si>
  <si>
    <t>The surge in receivables needs to be monitored. If customers default or pay late, Engro could face liquidity pressure despite healthy profits on paper.</t>
  </si>
  <si>
    <t>ENGRO</t>
  </si>
  <si>
    <t>D. ACTIVITY / EFFICIENCY RATIOS(Days)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</si>
</sst>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x"/>
    <numFmt numFmtId="166" formatCode="0.0&quot; days&quot;"/>
    <numFmt numFmtId="167" formatCode="0.0%"/>
    <numFmt numFmtId="168" formatCode="0.000000"/>
  </numFmts>
  <fonts count="27" x14ac:knownFonts="1">
    <font>
      <sz val="11"/>
      <color theme="1"/>
      <name val="Calibri"/>
      <family val="2"/>
      <charset val="1"/>
    </font>
    <font>
      <b/>
      <sz val="13"/>
      <color rgb="FFFFFFFF"/>
      <name val="Arial"/>
      <charset val="1"/>
    </font>
    <font>
      <i/>
      <sz val="9"/>
      <color rgb="FF555555"/>
      <name val="Arial"/>
      <charset val="1"/>
    </font>
    <font>
      <b/>
      <sz val="11"/>
      <color rgb="FFFFFFFF"/>
      <name val="Arial"/>
      <charset val="1"/>
    </font>
    <font>
      <b/>
      <sz val="10"/>
      <color rgb="FF1F4E79"/>
      <name val="Arial"/>
      <charset val="1"/>
    </font>
    <font>
      <sz val="10"/>
      <color rgb="FF000000"/>
      <name val="Arial"/>
      <charset val="1"/>
    </font>
    <font>
      <sz val="10"/>
      <color rgb="FF0000FF"/>
      <name val="Arial"/>
      <charset val="1"/>
    </font>
    <font>
      <b/>
      <sz val="10"/>
      <color rgb="FF000000"/>
      <name val="Arial"/>
      <charset val="1"/>
    </font>
    <font>
      <b/>
      <sz val="10"/>
      <color theme="0"/>
      <name val="Arial"/>
      <family val="2"/>
      <charset val="1"/>
    </font>
    <font>
      <sz val="10"/>
      <color rgb="FF008000"/>
      <name val="Arial"/>
      <charset val="1"/>
    </font>
    <font>
      <b/>
      <sz val="13"/>
      <color rgb="FFFFFFFF"/>
      <name val="Calibri"/>
      <charset val="1"/>
    </font>
    <font>
      <b/>
      <sz val="11"/>
      <color rgb="FFFFFFFF"/>
      <name val="Calibri"/>
      <charset val="1"/>
    </font>
    <font>
      <b/>
      <sz val="10"/>
      <color rgb="FFFFFFFF"/>
      <name val="Calibri"/>
      <charset val="1"/>
    </font>
    <font>
      <b/>
      <sz val="10"/>
      <color rgb="FF1F4E79"/>
      <name val="Calibri"/>
      <charset val="1"/>
    </font>
    <font>
      <sz val="10"/>
      <color rgb="FF000000"/>
      <name val="Calibri"/>
      <charset val="1"/>
    </font>
    <font>
      <sz val="10"/>
      <color rgb="FF1B5E20"/>
      <name val="Calibri"/>
      <charset val="1"/>
    </font>
    <font>
      <b/>
      <sz val="10"/>
      <color rgb="FF000000"/>
      <name val="Calibri"/>
      <charset val="1"/>
    </font>
    <font>
      <b/>
      <sz val="10"/>
      <color rgb="FF1B5E20"/>
      <name val="Calibri"/>
      <charset val="1"/>
    </font>
    <font>
      <b/>
      <i/>
      <sz val="10"/>
      <color rgb="FF1F4E79"/>
      <name val="Calibri"/>
      <charset val="1"/>
    </font>
    <font>
      <b/>
      <sz val="12"/>
      <color rgb="FFFFFFFF"/>
      <name val="Arial"/>
      <charset val="1"/>
    </font>
    <font>
      <i/>
      <sz val="9"/>
      <color rgb="FFFF6600"/>
      <name val="Arial"/>
      <charset val="1"/>
    </font>
    <font>
      <sz val="9"/>
      <color rgb="FF000000"/>
      <name val="Arial"/>
      <charset val="1"/>
    </font>
    <font>
      <sz val="9"/>
      <color rgb="FF0000FF"/>
      <name val="Arial"/>
      <charset val="1"/>
    </font>
    <font>
      <i/>
      <sz val="9"/>
      <color rgb="FF888888"/>
      <name val="Arial"/>
      <charset val="1"/>
    </font>
    <font>
      <b/>
      <sz val="10"/>
      <color rgb="FF008000"/>
      <name val="Arial"/>
      <charset val="1"/>
    </font>
    <font>
      <sz val="9"/>
      <color rgb="FF008000"/>
      <name val="Arial"/>
      <charset val="1"/>
    </font>
    <font>
      <b/>
      <sz val="10"/>
      <color rgb="FFFFFFFF"/>
      <name val="Arial"/>
      <charset val="1"/>
    </font>
  </fonts>
  <fills count="20">
    <fill>
      <patternFill patternType="none"/>
    </fill>
    <fill>
      <patternFill patternType="gray125"/>
    </fill>
    <fill>
      <patternFill patternType="solid">
        <fgColor rgb="FF1F4E79"/>
        <bgColor rgb="FF154360"/>
      </patternFill>
    </fill>
    <fill>
      <patternFill patternType="solid">
        <fgColor rgb="FF2E75B6"/>
        <bgColor rgb="FF4F81BD"/>
      </patternFill>
    </fill>
    <fill>
      <patternFill patternType="solid">
        <fgColor rgb="FFBDD7EE"/>
        <bgColor rgb="FFD0E8F5"/>
      </patternFill>
    </fill>
    <fill>
      <patternFill patternType="solid">
        <fgColor rgb="FFF7FBFF"/>
        <bgColor rgb="FFFAFAFA"/>
      </patternFill>
    </fill>
    <fill>
      <patternFill patternType="solid">
        <fgColor rgb="FFEEF4FF"/>
        <bgColor rgb="FFF2F7FF"/>
      </patternFill>
    </fill>
    <fill>
      <patternFill patternType="solid">
        <fgColor rgb="FFD0E8F5"/>
        <bgColor rgb="FFD6E4F0"/>
      </patternFill>
    </fill>
    <fill>
      <patternFill patternType="solid">
        <fgColor rgb="FFD6E4F0"/>
        <bgColor rgb="FFD9E1F2"/>
      </patternFill>
    </fill>
    <fill>
      <patternFill patternType="solid">
        <fgColor theme="4" tint="-0.249977111117893"/>
        <bgColor rgb="FF2E75B6"/>
      </patternFill>
    </fill>
    <fill>
      <patternFill patternType="solid">
        <fgColor rgb="FFFAFAFA"/>
        <bgColor rgb="FFF7FBFF"/>
      </patternFill>
    </fill>
    <fill>
      <patternFill patternType="solid">
        <fgColor rgb="FF154360"/>
        <bgColor rgb="FF0D3B61"/>
      </patternFill>
    </fill>
    <fill>
      <patternFill patternType="solid">
        <fgColor rgb="FF0D3B61"/>
        <bgColor rgb="FF154360"/>
      </patternFill>
    </fill>
    <fill>
      <patternFill patternType="solid">
        <fgColor rgb="FFFFFFFF"/>
        <bgColor rgb="FFFAFAFA"/>
      </patternFill>
    </fill>
    <fill>
      <patternFill patternType="solid">
        <fgColor rgb="FF8B0000"/>
        <bgColor rgb="FF800000"/>
      </patternFill>
    </fill>
    <fill>
      <patternFill patternType="solid">
        <fgColor rgb="FFF2F7FF"/>
        <bgColor rgb="FFF0F8FF"/>
      </patternFill>
    </fill>
    <fill>
      <patternFill patternType="solid">
        <fgColor rgb="FFE8F5E9"/>
        <bgColor rgb="FFEEF4FF"/>
      </patternFill>
    </fill>
    <fill>
      <patternFill patternType="solid">
        <fgColor rgb="FFDDEEFF"/>
        <bgColor rgb="FFD0E8F5"/>
      </patternFill>
    </fill>
    <fill>
      <patternFill patternType="solid">
        <fgColor rgb="FFD9E1F2"/>
        <bgColor rgb="FFD6E4F0"/>
      </patternFill>
    </fill>
    <fill>
      <patternFill patternType="solid">
        <fgColor rgb="FFF0F8FF"/>
        <bgColor rgb="FFF2F7FF"/>
      </patternFill>
    </fill>
  </fills>
  <borders count="8">
    <border>
      <left/>
      <right/>
      <top/>
      <bottom/>
      <diagonal/>
    </border>
    <border>
      <left/>
      <right/>
      <top style="thin">
        <color rgb="FFAAAAAA"/>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style="thin">
        <color rgb="FF888888"/>
      </left>
      <right/>
      <top style="thin">
        <color rgb="FF888888"/>
      </top>
      <bottom style="thin">
        <color rgb="FF888888"/>
      </bottom>
      <diagonal/>
    </border>
    <border>
      <left style="thin">
        <color rgb="FF555555"/>
      </left>
      <right style="thin">
        <color rgb="FF555555"/>
      </right>
      <top style="thin">
        <color rgb="FF555555"/>
      </top>
      <bottom style="thin">
        <color rgb="FF555555"/>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s>
  <cellStyleXfs count="1">
    <xf numFmtId="0" fontId="0" fillId="0" borderId="0"/>
  </cellStyleXfs>
  <cellXfs count="81">
    <xf numFmtId="0" fontId="0" fillId="0" borderId="0" xfId="0"/>
    <xf numFmtId="0" fontId="3" fillId="3" borderId="2" xfId="0" applyFont="1" applyFill="1" applyBorder="1" applyAlignment="1">
      <alignment horizontal="center" vertical="center"/>
    </xf>
    <xf numFmtId="0" fontId="5" fillId="5" borderId="2" xfId="0" applyFont="1" applyFill="1" applyBorder="1" applyAlignment="1">
      <alignment horizontal="left" vertical="center" indent="2"/>
    </xf>
    <xf numFmtId="164" fontId="6" fillId="6" borderId="2" xfId="0" applyNumberFormat="1" applyFont="1" applyFill="1" applyBorder="1" applyAlignment="1">
      <alignment horizontal="right" vertical="center"/>
    </xf>
    <xf numFmtId="0" fontId="7" fillId="7" borderId="2" xfId="0" applyFont="1" applyFill="1" applyBorder="1" applyAlignment="1">
      <alignment horizontal="left" vertical="center" indent="1"/>
    </xf>
    <xf numFmtId="164" fontId="7" fillId="7" borderId="2" xfId="0" applyNumberFormat="1" applyFont="1" applyFill="1" applyBorder="1" applyAlignment="1">
      <alignment horizontal="right" vertical="center"/>
    </xf>
    <xf numFmtId="0" fontId="3" fillId="3" borderId="2" xfId="0" applyFont="1" applyFill="1" applyBorder="1" applyAlignment="1">
      <alignment horizontal="center" vertical="center" wrapText="1"/>
    </xf>
    <xf numFmtId="0" fontId="5" fillId="5" borderId="2" xfId="0" applyFont="1" applyFill="1" applyBorder="1" applyAlignment="1">
      <alignment horizontal="left" vertical="center" indent="1"/>
    </xf>
    <xf numFmtId="0" fontId="2" fillId="10" borderId="2" xfId="0" applyFont="1" applyFill="1" applyBorder="1" applyAlignment="1">
      <alignment horizontal="left" vertical="center" wrapText="1"/>
    </xf>
    <xf numFmtId="2" fontId="9" fillId="0" borderId="2" xfId="0" applyNumberFormat="1" applyFont="1" applyBorder="1" applyAlignment="1">
      <alignment horizontal="right" vertical="center"/>
    </xf>
    <xf numFmtId="2" fontId="6" fillId="6" borderId="2" xfId="0" applyNumberFormat="1" applyFont="1" applyFill="1" applyBorder="1" applyAlignment="1">
      <alignment horizontal="right" vertical="center"/>
    </xf>
    <xf numFmtId="165" fontId="9" fillId="0" borderId="2" xfId="0" applyNumberFormat="1" applyFont="1" applyBorder="1" applyAlignment="1">
      <alignment horizontal="right" vertical="center"/>
    </xf>
    <xf numFmtId="165" fontId="6" fillId="6" borderId="2" xfId="0" applyNumberFormat="1" applyFont="1" applyFill="1" applyBorder="1" applyAlignment="1">
      <alignment horizontal="right" vertical="center"/>
    </xf>
    <xf numFmtId="166" fontId="9" fillId="0" borderId="2" xfId="0" applyNumberFormat="1" applyFont="1" applyBorder="1" applyAlignment="1">
      <alignment horizontal="right" vertical="center"/>
    </xf>
    <xf numFmtId="166" fontId="6" fillId="6" borderId="2" xfId="0" applyNumberFormat="1" applyFont="1" applyFill="1" applyBorder="1" applyAlignment="1">
      <alignment horizontal="right" vertical="center"/>
    </xf>
    <xf numFmtId="167" fontId="9" fillId="0" borderId="2" xfId="0" applyNumberFormat="1" applyFont="1" applyBorder="1" applyAlignment="1">
      <alignment horizontal="right" vertical="center"/>
    </xf>
    <xf numFmtId="167" fontId="6" fillId="6" borderId="2" xfId="0" applyNumberFormat="1" applyFont="1" applyFill="1" applyBorder="1" applyAlignment="1">
      <alignment horizontal="right" vertical="center"/>
    </xf>
    <xf numFmtId="0" fontId="12" fillId="3" borderId="5" xfId="0" applyFont="1" applyFill="1" applyBorder="1" applyAlignment="1">
      <alignment horizontal="center" vertical="center" wrapText="1"/>
    </xf>
    <xf numFmtId="0" fontId="0" fillId="13" borderId="0" xfId="0" applyFill="1"/>
    <xf numFmtId="0" fontId="12" fillId="11" borderId="5" xfId="0" applyFont="1" applyFill="1" applyBorder="1" applyAlignment="1">
      <alignment horizontal="center" vertical="center" wrapText="1"/>
    </xf>
    <xf numFmtId="0" fontId="12" fillId="14" borderId="5" xfId="0" applyFont="1" applyFill="1" applyBorder="1" applyAlignment="1">
      <alignment horizontal="center" vertical="center" wrapText="1"/>
    </xf>
    <xf numFmtId="0" fontId="21" fillId="0" borderId="2" xfId="0" applyFont="1" applyBorder="1" applyAlignment="1">
      <alignment horizontal="center"/>
    </xf>
    <xf numFmtId="4" fontId="22" fillId="6" borderId="2" xfId="0" applyNumberFormat="1" applyFont="1" applyFill="1" applyBorder="1" applyAlignment="1">
      <alignment horizontal="right"/>
    </xf>
    <xf numFmtId="0" fontId="23" fillId="0" borderId="2" xfId="0" applyFont="1" applyBorder="1" applyAlignment="1">
      <alignment horizontal="center"/>
    </xf>
    <xf numFmtId="0" fontId="7" fillId="19" borderId="2" xfId="0" applyFont="1" applyFill="1" applyBorder="1" applyAlignment="1">
      <alignment horizontal="left" vertical="center" indent="1"/>
    </xf>
    <xf numFmtId="10" fontId="24" fillId="0" borderId="2" xfId="0" applyNumberFormat="1" applyFont="1" applyBorder="1" applyAlignment="1">
      <alignment horizontal="right" vertical="center"/>
    </xf>
    <xf numFmtId="10" fontId="25" fillId="0" borderId="2" xfId="0" applyNumberFormat="1" applyFont="1" applyBorder="1" applyAlignment="1">
      <alignment horizontal="right"/>
    </xf>
    <xf numFmtId="10" fontId="9" fillId="0" borderId="2" xfId="0" applyNumberFormat="1" applyFont="1" applyBorder="1" applyAlignment="1">
      <alignment horizontal="right" vertical="center"/>
    </xf>
    <xf numFmtId="0" fontId="5" fillId="19" borderId="2" xfId="0" applyFont="1" applyFill="1" applyBorder="1" applyAlignment="1">
      <alignment horizontal="left" vertical="center" indent="1"/>
    </xf>
    <xf numFmtId="168" fontId="9" fillId="0" borderId="2" xfId="0" applyNumberFormat="1" applyFont="1" applyBorder="1" applyAlignment="1">
      <alignment horizontal="right" vertical="center"/>
    </xf>
    <xf numFmtId="1" fontId="9" fillId="0" borderId="2" xfId="0" applyNumberFormat="1" applyFont="1" applyBorder="1" applyAlignment="1">
      <alignment horizontal="right" vertical="center"/>
    </xf>
    <xf numFmtId="49" fontId="9" fillId="0" borderId="2" xfId="0" applyNumberFormat="1" applyFont="1" applyBorder="1" applyAlignment="1">
      <alignment horizontal="right" vertical="center"/>
    </xf>
    <xf numFmtId="0" fontId="4" fillId="4" borderId="2" xfId="0" applyFont="1" applyFill="1" applyBorder="1" applyAlignment="1">
      <alignment horizontal="left" vertical="top" wrapText="1" indent="1"/>
    </xf>
    <xf numFmtId="0" fontId="5" fillId="0" borderId="2" xfId="0" applyFont="1" applyBorder="1" applyAlignment="1">
      <alignment horizontal="left" vertical="top" wrapText="1"/>
    </xf>
    <xf numFmtId="10" fontId="15" fillId="13" borderId="2" xfId="0" applyNumberFormat="1" applyFont="1" applyFill="1" applyBorder="1" applyAlignment="1">
      <alignment horizontal="center" vertical="center"/>
    </xf>
    <xf numFmtId="10" fontId="15" fillId="15" borderId="2" xfId="0" applyNumberFormat="1" applyFont="1" applyFill="1" applyBorder="1" applyAlignment="1">
      <alignment horizontal="center" vertical="center"/>
    </xf>
    <xf numFmtId="10" fontId="17" fillId="17" borderId="2" xfId="0" applyNumberFormat="1" applyFont="1" applyFill="1" applyBorder="1" applyAlignment="1">
      <alignment horizontal="center" vertical="center"/>
    </xf>
    <xf numFmtId="10" fontId="14" fillId="15" borderId="2" xfId="0" applyNumberFormat="1" applyFont="1" applyFill="1" applyBorder="1" applyAlignment="1">
      <alignment horizontal="left" vertical="center" indent="3"/>
    </xf>
    <xf numFmtId="10" fontId="14" fillId="15" borderId="2" xfId="0" applyNumberFormat="1" applyFont="1" applyFill="1" applyBorder="1" applyAlignment="1">
      <alignment horizontal="right" vertical="center"/>
    </xf>
    <xf numFmtId="10" fontId="0" fillId="13" borderId="0" xfId="0" applyNumberFormat="1" applyFill="1"/>
    <xf numFmtId="10" fontId="16" fillId="16" borderId="2" xfId="0" applyNumberFormat="1" applyFont="1" applyFill="1" applyBorder="1" applyAlignment="1">
      <alignment horizontal="center" vertical="center"/>
    </xf>
    <xf numFmtId="10" fontId="14" fillId="13" borderId="2" xfId="0" applyNumberFormat="1" applyFont="1" applyFill="1" applyBorder="1" applyAlignment="1">
      <alignment horizontal="left" vertical="center" indent="3"/>
    </xf>
    <xf numFmtId="10" fontId="14" fillId="13" borderId="2" xfId="0" applyNumberFormat="1" applyFont="1" applyFill="1" applyBorder="1" applyAlignment="1">
      <alignment horizontal="right" vertical="center"/>
    </xf>
    <xf numFmtId="10" fontId="13" fillId="17" borderId="2" xfId="0" applyNumberFormat="1" applyFont="1" applyFill="1" applyBorder="1" applyAlignment="1">
      <alignment horizontal="left" vertical="center" indent="2"/>
    </xf>
    <xf numFmtId="10" fontId="13" fillId="17" borderId="2" xfId="0" applyNumberFormat="1" applyFont="1" applyFill="1" applyBorder="1" applyAlignment="1">
      <alignment horizontal="right" vertical="center"/>
    </xf>
    <xf numFmtId="10" fontId="0" fillId="0" borderId="0" xfId="0" applyNumberFormat="1"/>
    <xf numFmtId="10" fontId="13" fillId="17" borderId="2" xfId="0" applyNumberFormat="1" applyFont="1" applyFill="1" applyBorder="1" applyAlignment="1">
      <alignment horizontal="left" vertical="center" indent="1"/>
    </xf>
    <xf numFmtId="10" fontId="12" fillId="3" borderId="5" xfId="0" applyNumberFormat="1" applyFont="1" applyFill="1" applyBorder="1" applyAlignment="1">
      <alignment horizontal="center" vertical="center" wrapText="1"/>
    </xf>
    <xf numFmtId="10" fontId="12" fillId="11" borderId="5" xfId="0" applyNumberFormat="1" applyFont="1" applyFill="1" applyBorder="1" applyAlignment="1">
      <alignment horizontal="center" vertical="center" wrapText="1"/>
    </xf>
    <xf numFmtId="10" fontId="12" fillId="14" borderId="5" xfId="0" applyNumberFormat="1" applyFont="1" applyFill="1" applyBorder="1" applyAlignment="1">
      <alignment horizontal="center" vertical="center" wrapText="1"/>
    </xf>
    <xf numFmtId="10" fontId="14" fillId="13" borderId="2" xfId="0" applyNumberFormat="1" applyFont="1" applyFill="1" applyBorder="1" applyAlignment="1">
      <alignment horizontal="left" vertical="center" indent="2"/>
    </xf>
    <xf numFmtId="10" fontId="14" fillId="15" borderId="2" xfId="0" applyNumberFormat="1" applyFont="1" applyFill="1" applyBorder="1" applyAlignment="1">
      <alignment horizontal="left" vertical="center" indent="2"/>
    </xf>
    <xf numFmtId="0" fontId="4" fillId="4" borderId="3" xfId="0" applyFont="1" applyFill="1" applyBorder="1" applyAlignment="1">
      <alignment horizontal="center" vertical="center"/>
    </xf>
    <xf numFmtId="0" fontId="19" fillId="2" borderId="3" xfId="0" applyFont="1" applyFill="1" applyBorder="1" applyAlignment="1">
      <alignment horizontal="center" vertical="center"/>
    </xf>
    <xf numFmtId="0" fontId="20" fillId="0" borderId="0" xfId="0" applyFont="1" applyAlignment="1">
      <alignment horizontal="center"/>
    </xf>
    <xf numFmtId="0" fontId="26" fillId="3" borderId="3" xfId="0" applyFont="1" applyFill="1" applyBorder="1" applyAlignment="1">
      <alignment horizontal="center" vertical="center"/>
    </xf>
    <xf numFmtId="0" fontId="8" fillId="9" borderId="3" xfId="0" applyFont="1" applyFill="1" applyBorder="1" applyAlignment="1">
      <alignment horizontal="center" vertical="center"/>
    </xf>
    <xf numFmtId="0" fontId="4" fillId="4" borderId="3" xfId="0" applyFont="1" applyFill="1" applyBorder="1" applyAlignment="1">
      <alignment horizontal="left" vertical="center" indent="1"/>
    </xf>
    <xf numFmtId="0" fontId="4" fillId="8" borderId="3" xfId="0" applyFont="1" applyFill="1" applyBorder="1" applyAlignment="1">
      <alignment horizontal="left" vertical="center" indent="1"/>
    </xf>
    <xf numFmtId="0" fontId="1" fillId="2" borderId="1" xfId="0" applyFont="1" applyFill="1" applyBorder="1"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xf>
    <xf numFmtId="0" fontId="1" fillId="2" borderId="3"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6" xfId="0" applyFont="1" applyFill="1" applyBorder="1" applyAlignment="1">
      <alignment horizontal="center" vertical="center"/>
    </xf>
    <xf numFmtId="0" fontId="4" fillId="4" borderId="7" xfId="0" applyFont="1" applyFill="1" applyBorder="1" applyAlignment="1">
      <alignment horizontal="center" vertical="center"/>
    </xf>
    <xf numFmtId="10" fontId="12" fillId="12" borderId="4" xfId="0" applyNumberFormat="1" applyFont="1" applyFill="1" applyBorder="1" applyAlignment="1">
      <alignment horizontal="center" vertical="center" wrapText="1"/>
    </xf>
    <xf numFmtId="10" fontId="18" fillId="18" borderId="3" xfId="0" applyNumberFormat="1" applyFont="1" applyFill="1" applyBorder="1" applyAlignment="1">
      <alignment horizontal="left" vertical="center" indent="2"/>
    </xf>
    <xf numFmtId="0" fontId="13" fillId="4" borderId="3" xfId="0" applyFont="1" applyFill="1" applyBorder="1" applyAlignment="1">
      <alignment horizontal="left" vertical="center" indent="1"/>
    </xf>
    <xf numFmtId="10" fontId="13" fillId="4" borderId="3" xfId="0" applyNumberFormat="1" applyFont="1" applyFill="1" applyBorder="1" applyAlignment="1">
      <alignment horizontal="left" vertical="center" indent="1"/>
    </xf>
    <xf numFmtId="0" fontId="10" fillId="2" borderId="4"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11" fillId="11" borderId="4" xfId="0" applyFont="1" applyFill="1" applyBorder="1" applyAlignment="1">
      <alignment horizontal="center" vertical="center" wrapText="1"/>
    </xf>
    <xf numFmtId="0" fontId="12" fillId="12" borderId="4" xfId="0" applyFont="1" applyFill="1" applyBorder="1" applyAlignment="1">
      <alignment horizontal="center" vertical="center" wrapText="1"/>
    </xf>
    <xf numFmtId="0" fontId="3" fillId="3" borderId="3" xfId="0" applyFont="1" applyFill="1" applyBorder="1" applyAlignment="1">
      <alignment horizontal="left" vertical="center" indent="1"/>
    </xf>
    <xf numFmtId="10" fontId="9" fillId="0" borderId="3" xfId="0" applyNumberFormat="1" applyFont="1" applyBorder="1" applyAlignment="1">
      <alignment horizontal="right" vertical="center"/>
    </xf>
    <xf numFmtId="10" fontId="9" fillId="0" borderId="7" xfId="0" applyNumberFormat="1" applyFont="1" applyBorder="1" applyAlignment="1">
      <alignment horizontal="right" vertical="center"/>
    </xf>
    <xf numFmtId="168" fontId="9" fillId="0" borderId="3" xfId="0" applyNumberFormat="1" applyFont="1" applyBorder="1" applyAlignment="1">
      <alignment horizontal="right" vertical="center"/>
    </xf>
    <xf numFmtId="168" fontId="9" fillId="0" borderId="7" xfId="0" applyNumberFormat="1" applyFont="1" applyBorder="1" applyAlignment="1">
      <alignment horizontal="right" vertical="center"/>
    </xf>
    <xf numFmtId="49" fontId="9" fillId="0" borderId="3" xfId="0" applyNumberFormat="1" applyFont="1" applyBorder="1" applyAlignment="1">
      <alignment horizontal="right" vertical="center"/>
    </xf>
    <xf numFmtId="49" fontId="9" fillId="0" borderId="7"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0F8FF"/>
      <rgbColor rgb="FFFF00FF"/>
      <rgbColor rgb="FF00FFFF"/>
      <rgbColor rgb="FF8B0000"/>
      <rgbColor rgb="FF008000"/>
      <rgbColor rgb="FF000080"/>
      <rgbColor rgb="FF555555"/>
      <rgbColor rgb="FF800080"/>
      <rgbColor rgb="FF008080"/>
      <rgbColor rgb="FFD9D9D9"/>
      <rgbColor rgb="FF888888"/>
      <rgbColor rgb="FF9999FF"/>
      <rgbColor rgb="FFC0504D"/>
      <rgbColor rgb="FFFAFAFA"/>
      <rgbColor rgb="FFDDEEFF"/>
      <rgbColor rgb="FF660066"/>
      <rgbColor rgb="FFFF8080"/>
      <rgbColor rgb="FF376092"/>
      <rgbColor rgb="FFBDD7EE"/>
      <rgbColor rgb="FF000080"/>
      <rgbColor rgb="FFFF00FF"/>
      <rgbColor rgb="FFFFFF00"/>
      <rgbColor rgb="FF00FFFF"/>
      <rgbColor rgb="FF800080"/>
      <rgbColor rgb="FF800000"/>
      <rgbColor rgb="FF008080"/>
      <rgbColor rgb="FF0000FF"/>
      <rgbColor rgb="FF00CCFF"/>
      <rgbColor rgb="FFD0E8F5"/>
      <rgbColor rgb="FFE8F5E9"/>
      <rgbColor rgb="FFF7FBFF"/>
      <rgbColor rgb="FFD6E4F0"/>
      <rgbColor rgb="FFF2F7FF"/>
      <rgbColor rgb="FFEEF4FF"/>
      <rgbColor rgb="FFD9E1F2"/>
      <rgbColor rgb="FF2E75B6"/>
      <rgbColor rgb="FF33CCCC"/>
      <rgbColor rgb="FF9BBB59"/>
      <rgbColor rgb="FFFFCC00"/>
      <rgbColor rgb="FFFF9900"/>
      <rgbColor rgb="FFFF6600"/>
      <rgbColor rgb="FF8064A2"/>
      <rgbColor rgb="FFAAAAAA"/>
      <rgbColor rgb="FF0D3B61"/>
      <rgbColor rgb="FF4F81BD"/>
      <rgbColor rgb="FF003300"/>
      <rgbColor rgb="FF1B5E20"/>
      <rgbColor rgb="FF993300"/>
      <rgbColor rgb="FF595959"/>
      <rgbColor rgb="FF1F4E79"/>
      <rgbColor rgb="FF15436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GB" sz="1400" b="0" strike="noStrike" spc="-1">
                <a:solidFill>
                  <a:srgbClr val="000000"/>
                </a:solidFill>
                <a:latin typeface="Calibri"/>
              </a:defRPr>
            </a:pPr>
            <a:r>
              <a:rPr lang="en-GB" sz="1400" b="0" strike="noStrike" spc="-1">
                <a:solidFill>
                  <a:srgbClr val="000000"/>
                </a:solidFill>
                <a:latin typeface="Calibri"/>
              </a:rPr>
              <a:t>Liquidity Ratios </a:t>
            </a:r>
          </a:p>
        </c:rich>
      </c:tx>
      <c:overlay val="0"/>
      <c:spPr>
        <a:noFill/>
        <a:ln w="0">
          <a:noFill/>
        </a:ln>
      </c:spPr>
    </c:title>
    <c:autoTitleDeleted val="0"/>
    <c:plotArea>
      <c:layout/>
      <c:barChart>
        <c:barDir val="col"/>
        <c:grouping val="clustered"/>
        <c:varyColors val="0"/>
        <c:ser>
          <c:idx val="0"/>
          <c:order val="0"/>
          <c:tx>
            <c:strRef>
              <c:f>Ratios!$A$4:$B$4</c:f>
              <c:strCache>
                <c:ptCount val="2"/>
                <c:pt idx="0">
                  <c:v>A. LIQUIDITY RATIOS</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Ratios!$C$3:$F$3</c:f>
              <c:strCache>
                <c:ptCount val="4"/>
                <c:pt idx="0">
                  <c:v>ENGRO 2023</c:v>
                </c:pt>
                <c:pt idx="1">
                  <c:v>ENGRO 2024</c:v>
                </c:pt>
                <c:pt idx="2">
                  <c:v>ENGRO 2025</c:v>
                </c:pt>
                <c:pt idx="3">
                  <c:v>FFC 2025</c:v>
                </c:pt>
              </c:strCache>
            </c:strRef>
          </c:cat>
          <c:val>
            <c:numRef>
              <c:f>Ratios!$C$4:$F$4</c:f>
              <c:numCache>
                <c:formatCode>General</c:formatCode>
                <c:ptCount val="4"/>
              </c:numCache>
            </c:numRef>
          </c:val>
          <c:extLst>
            <c:ext xmlns:c16="http://schemas.microsoft.com/office/drawing/2014/chart" uri="{C3380CC4-5D6E-409C-BE32-E72D297353CC}">
              <c16:uniqueId val="{00000000-5D1D-4F4A-93C2-1152DC4C85C8}"/>
            </c:ext>
          </c:extLst>
        </c:ser>
        <c:ser>
          <c:idx val="1"/>
          <c:order val="1"/>
          <c:tx>
            <c:strRef>
              <c:f>Ratios!$A$5:$B$5</c:f>
              <c:strCache>
                <c:ptCount val="2"/>
                <c:pt idx="0">
                  <c:v>Current Ratio</c:v>
                </c:pt>
                <c:pt idx="1">
                  <c:v>Current Assets ÷ Current Liabilities</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Ratios!$C$3:$F$3</c:f>
              <c:strCache>
                <c:ptCount val="4"/>
                <c:pt idx="0">
                  <c:v>ENGRO 2023</c:v>
                </c:pt>
                <c:pt idx="1">
                  <c:v>ENGRO 2024</c:v>
                </c:pt>
                <c:pt idx="2">
                  <c:v>ENGRO 2025</c:v>
                </c:pt>
                <c:pt idx="3">
                  <c:v>FFC 2025</c:v>
                </c:pt>
              </c:strCache>
            </c:strRef>
          </c:cat>
          <c:val>
            <c:numRef>
              <c:f>Ratios!$C$5:$F$5</c:f>
              <c:numCache>
                <c:formatCode>0.00</c:formatCode>
                <c:ptCount val="4"/>
                <c:pt idx="0">
                  <c:v>0.78124620916381315</c:v>
                </c:pt>
                <c:pt idx="1">
                  <c:v>0.75714125226110529</c:v>
                </c:pt>
                <c:pt idx="2">
                  <c:v>0.77116903156752181</c:v>
                </c:pt>
                <c:pt idx="3">
                  <c:v>1.2712761273162156</c:v>
                </c:pt>
              </c:numCache>
            </c:numRef>
          </c:val>
          <c:extLst>
            <c:ext xmlns:c16="http://schemas.microsoft.com/office/drawing/2014/chart" uri="{C3380CC4-5D6E-409C-BE32-E72D297353CC}">
              <c16:uniqueId val="{00000001-5D1D-4F4A-93C2-1152DC4C85C8}"/>
            </c:ext>
          </c:extLst>
        </c:ser>
        <c:ser>
          <c:idx val="2"/>
          <c:order val="2"/>
          <c:tx>
            <c:strRef>
              <c:f>Ratios!$A$6:$B$6</c:f>
              <c:strCache>
                <c:ptCount val="2"/>
                <c:pt idx="0">
                  <c:v>Acid Test (Quick) Ratio</c:v>
                </c:pt>
                <c:pt idx="1">
                  <c:v>(Current Assets − Inventory) ÷ Current Liabilities</c:v>
                </c:pt>
              </c:strCache>
            </c:strRef>
          </c:tx>
          <c:spPr>
            <a:solidFill>
              <a:srgbClr val="9BBB59"/>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Ratios!$C$3:$F$3</c:f>
              <c:strCache>
                <c:ptCount val="4"/>
                <c:pt idx="0">
                  <c:v>ENGRO 2023</c:v>
                </c:pt>
                <c:pt idx="1">
                  <c:v>ENGRO 2024</c:v>
                </c:pt>
                <c:pt idx="2">
                  <c:v>ENGRO 2025</c:v>
                </c:pt>
                <c:pt idx="3">
                  <c:v>FFC 2025</c:v>
                </c:pt>
              </c:strCache>
            </c:strRef>
          </c:cat>
          <c:val>
            <c:numRef>
              <c:f>Ratios!$C$6:$F$6</c:f>
              <c:numCache>
                <c:formatCode>0.00</c:formatCode>
                <c:ptCount val="4"/>
                <c:pt idx="0">
                  <c:v>0.62505328149630901</c:v>
                </c:pt>
                <c:pt idx="1">
                  <c:v>0.49765382292319454</c:v>
                </c:pt>
                <c:pt idx="2">
                  <c:v>0.56497013783291861</c:v>
                </c:pt>
                <c:pt idx="3">
                  <c:v>1.095432249294584</c:v>
                </c:pt>
              </c:numCache>
            </c:numRef>
          </c:val>
          <c:extLst>
            <c:ext xmlns:c16="http://schemas.microsoft.com/office/drawing/2014/chart" uri="{C3380CC4-5D6E-409C-BE32-E72D297353CC}">
              <c16:uniqueId val="{00000002-5D1D-4F4A-93C2-1152DC4C85C8}"/>
            </c:ext>
          </c:extLst>
        </c:ser>
        <c:dLbls>
          <c:showLegendKey val="0"/>
          <c:showVal val="0"/>
          <c:showCatName val="0"/>
          <c:showSerName val="0"/>
          <c:showPercent val="0"/>
          <c:showBubbleSize val="0"/>
        </c:dLbls>
        <c:gapWidth val="219"/>
        <c:overlap val="-27"/>
        <c:axId val="2911316"/>
        <c:axId val="96654107"/>
      </c:barChart>
      <c:catAx>
        <c:axId val="2911316"/>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595959"/>
                </a:solidFill>
                <a:latin typeface="Calibri"/>
              </a:defRPr>
            </a:pPr>
            <a:endParaRPr lang="en-US"/>
          </a:p>
        </c:txPr>
        <c:crossAx val="96654107"/>
        <c:crosses val="autoZero"/>
        <c:auto val="1"/>
        <c:lblAlgn val="ctr"/>
        <c:lblOffset val="100"/>
        <c:noMultiLvlLbl val="0"/>
      </c:catAx>
      <c:valAx>
        <c:axId val="96654107"/>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noFill/>
          </a:ln>
        </c:spPr>
        <c:txPr>
          <a:bodyPr/>
          <a:lstStyle/>
          <a:p>
            <a:pPr>
              <a:defRPr sz="900" b="0" strike="noStrike" spc="-1">
                <a:solidFill>
                  <a:srgbClr val="595959"/>
                </a:solidFill>
                <a:latin typeface="Calibri"/>
              </a:defRPr>
            </a:pPr>
            <a:endParaRPr lang="en-US"/>
          </a:p>
        </c:txPr>
        <c:crossAx val="291131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GB" sz="1400" b="0" strike="noStrike" spc="-1">
                <a:solidFill>
                  <a:srgbClr val="595959"/>
                </a:solidFill>
                <a:latin typeface="Calibri"/>
              </a:defRPr>
            </a:pPr>
            <a:r>
              <a:rPr lang="en-GB" sz="1400" b="0" strike="noStrike" spc="-1">
                <a:solidFill>
                  <a:srgbClr val="595959"/>
                </a:solidFill>
                <a:latin typeface="Calibri"/>
              </a:rPr>
              <a:t>Leverage Ratios</a:t>
            </a:r>
          </a:p>
        </c:rich>
      </c:tx>
      <c:overlay val="0"/>
      <c:spPr>
        <a:noFill/>
        <a:ln w="0">
          <a:noFill/>
        </a:ln>
      </c:spPr>
    </c:title>
    <c:autoTitleDeleted val="0"/>
    <c:plotArea>
      <c:layout/>
      <c:barChart>
        <c:barDir val="col"/>
        <c:grouping val="clustered"/>
        <c:varyColors val="0"/>
        <c:ser>
          <c:idx val="0"/>
          <c:order val="0"/>
          <c:tx>
            <c:strRef>
              <c:f>Ratios!$A$10:$B$10</c:f>
              <c:strCache>
                <c:ptCount val="2"/>
                <c:pt idx="0">
                  <c:v>Total Debt to Equity</c:v>
                </c:pt>
                <c:pt idx="1">
                  <c:v>Total Liabilities ÷ Total Equity</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Ratios!$C$8:$F$9</c:f>
              <c:strCache>
                <c:ptCount val="4"/>
                <c:pt idx="0">
                  <c:v>ENGRO 2023</c:v>
                </c:pt>
                <c:pt idx="1">
                  <c:v>ENGRO 2024</c:v>
                </c:pt>
                <c:pt idx="2">
                  <c:v>ENGRO 2025</c:v>
                </c:pt>
                <c:pt idx="3">
                  <c:v>FFC 2025</c:v>
                </c:pt>
              </c:strCache>
            </c:strRef>
          </c:cat>
          <c:val>
            <c:numRef>
              <c:f>Ratios!$C$10:$F$10</c:f>
              <c:numCache>
                <c:formatCode>0.00</c:formatCode>
                <c:ptCount val="4"/>
                <c:pt idx="0">
                  <c:v>2.3576914313174679</c:v>
                </c:pt>
                <c:pt idx="1">
                  <c:v>2.5947607242228079</c:v>
                </c:pt>
                <c:pt idx="2">
                  <c:v>3.4509132608363449</c:v>
                </c:pt>
                <c:pt idx="3">
                  <c:v>1.3160373602076747</c:v>
                </c:pt>
              </c:numCache>
            </c:numRef>
          </c:val>
          <c:extLst>
            <c:ext xmlns:c16="http://schemas.microsoft.com/office/drawing/2014/chart" uri="{C3380CC4-5D6E-409C-BE32-E72D297353CC}">
              <c16:uniqueId val="{00000000-7FD3-4D6F-9121-2F45B396E47B}"/>
            </c:ext>
          </c:extLst>
        </c:ser>
        <c:ser>
          <c:idx val="1"/>
          <c:order val="1"/>
          <c:tx>
            <c:strRef>
              <c:f>Ratios!$A$11:$B$11</c:f>
              <c:strCache>
                <c:ptCount val="2"/>
                <c:pt idx="0">
                  <c:v>Total Debt to Total Assets</c:v>
                </c:pt>
                <c:pt idx="1">
                  <c:v>Total Liabilities ÷ Total Assets</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Ratios!$C$8:$F$9</c:f>
              <c:strCache>
                <c:ptCount val="4"/>
                <c:pt idx="0">
                  <c:v>ENGRO 2023</c:v>
                </c:pt>
                <c:pt idx="1">
                  <c:v>ENGRO 2024</c:v>
                </c:pt>
                <c:pt idx="2">
                  <c:v>ENGRO 2025</c:v>
                </c:pt>
                <c:pt idx="3">
                  <c:v>FFC 2025</c:v>
                </c:pt>
              </c:strCache>
            </c:strRef>
          </c:cat>
          <c:val>
            <c:numRef>
              <c:f>Ratios!$C$11:$F$11</c:f>
              <c:numCache>
                <c:formatCode>0.00</c:formatCode>
                <c:ptCount val="4"/>
                <c:pt idx="0">
                  <c:v>0.70217632547383102</c:v>
                </c:pt>
                <c:pt idx="1">
                  <c:v>0.72181736790945905</c:v>
                </c:pt>
                <c:pt idx="2">
                  <c:v>0.77543110932422155</c:v>
                </c:pt>
                <c:pt idx="3">
                  <c:v>0.56822803587661819</c:v>
                </c:pt>
              </c:numCache>
            </c:numRef>
          </c:val>
          <c:extLst>
            <c:ext xmlns:c16="http://schemas.microsoft.com/office/drawing/2014/chart" uri="{C3380CC4-5D6E-409C-BE32-E72D297353CC}">
              <c16:uniqueId val="{00000001-7FD3-4D6F-9121-2F45B396E47B}"/>
            </c:ext>
          </c:extLst>
        </c:ser>
        <c:ser>
          <c:idx val="2"/>
          <c:order val="2"/>
          <c:tx>
            <c:strRef>
              <c:f>Ratios!$A$12:$B$12</c:f>
              <c:strCache>
                <c:ptCount val="2"/>
                <c:pt idx="0">
                  <c:v>Long-term Debt to Total Capital</c:v>
                </c:pt>
                <c:pt idx="1">
                  <c:v>LT Borrowings ÷ (LT Borrowings + Total Equity)</c:v>
                </c:pt>
              </c:strCache>
            </c:strRef>
          </c:tx>
          <c:spPr>
            <a:solidFill>
              <a:srgbClr val="9BBB59"/>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Ratios!$C$8:$F$9</c:f>
              <c:strCache>
                <c:ptCount val="4"/>
                <c:pt idx="0">
                  <c:v>ENGRO 2023</c:v>
                </c:pt>
                <c:pt idx="1">
                  <c:v>ENGRO 2024</c:v>
                </c:pt>
                <c:pt idx="2">
                  <c:v>ENGRO 2025</c:v>
                </c:pt>
                <c:pt idx="3">
                  <c:v>FFC 2025</c:v>
                </c:pt>
              </c:strCache>
            </c:strRef>
          </c:cat>
          <c:val>
            <c:numRef>
              <c:f>Ratios!$C$12:$F$12</c:f>
              <c:numCache>
                <c:formatCode>0.00</c:formatCode>
                <c:ptCount val="4"/>
                <c:pt idx="0">
                  <c:v>6.3854121136407135E-2</c:v>
                </c:pt>
                <c:pt idx="1">
                  <c:v>0.28267281106130088</c:v>
                </c:pt>
                <c:pt idx="2">
                  <c:v>0.39688219662511642</c:v>
                </c:pt>
                <c:pt idx="3">
                  <c:v>0.16100854822518859</c:v>
                </c:pt>
              </c:numCache>
            </c:numRef>
          </c:val>
          <c:extLst>
            <c:ext xmlns:c16="http://schemas.microsoft.com/office/drawing/2014/chart" uri="{C3380CC4-5D6E-409C-BE32-E72D297353CC}">
              <c16:uniqueId val="{00000002-7FD3-4D6F-9121-2F45B396E47B}"/>
            </c:ext>
          </c:extLst>
        </c:ser>
        <c:dLbls>
          <c:showLegendKey val="0"/>
          <c:showVal val="0"/>
          <c:showCatName val="0"/>
          <c:showSerName val="0"/>
          <c:showPercent val="0"/>
          <c:showBubbleSize val="0"/>
        </c:dLbls>
        <c:gapWidth val="219"/>
        <c:overlap val="-27"/>
        <c:axId val="50938240"/>
        <c:axId val="6924521"/>
      </c:barChart>
      <c:catAx>
        <c:axId val="50938240"/>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595959"/>
                </a:solidFill>
                <a:latin typeface="Calibri"/>
              </a:defRPr>
            </a:pPr>
            <a:endParaRPr lang="en-US"/>
          </a:p>
        </c:txPr>
        <c:crossAx val="6924521"/>
        <c:crosses val="autoZero"/>
        <c:auto val="1"/>
        <c:lblAlgn val="ctr"/>
        <c:lblOffset val="100"/>
        <c:noMultiLvlLbl val="0"/>
      </c:catAx>
      <c:valAx>
        <c:axId val="6924521"/>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sz="900" b="0" strike="noStrike" spc="-1">
                <a:solidFill>
                  <a:srgbClr val="595959"/>
                </a:solidFill>
                <a:latin typeface="Calibri"/>
              </a:defRPr>
            </a:pPr>
            <a:endParaRPr lang="en-US"/>
          </a:p>
        </c:txPr>
        <c:crossAx val="5093824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GB" sz="1400" b="0" strike="noStrike" spc="-1">
                <a:solidFill>
                  <a:srgbClr val="595959"/>
                </a:solidFill>
                <a:latin typeface="Calibri"/>
              </a:defRPr>
            </a:pPr>
            <a:r>
              <a:rPr lang="en-GB" sz="1400" b="0" strike="noStrike" spc="-1">
                <a:solidFill>
                  <a:srgbClr val="595959"/>
                </a:solidFill>
                <a:latin typeface="Calibri"/>
              </a:rPr>
              <a:t>Profitability ratios</a:t>
            </a:r>
          </a:p>
        </c:rich>
      </c:tx>
      <c:overlay val="0"/>
      <c:spPr>
        <a:noFill/>
        <a:ln w="0">
          <a:noFill/>
        </a:ln>
      </c:spPr>
    </c:title>
    <c:autoTitleDeleted val="0"/>
    <c:plotArea>
      <c:layout/>
      <c:barChart>
        <c:barDir val="col"/>
        <c:grouping val="clustered"/>
        <c:varyColors val="0"/>
        <c:ser>
          <c:idx val="0"/>
          <c:order val="0"/>
          <c:tx>
            <c:strRef>
              <c:f>Ratios!$A$36:$B$36</c:f>
              <c:strCache>
                <c:ptCount val="2"/>
                <c:pt idx="0">
                  <c:v>Gross Profit (GP) Margin</c:v>
                </c:pt>
                <c:pt idx="1">
                  <c:v>Gross Profit ÷ Net Sales</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Ratios!$C$34:$F$35</c:f>
              <c:strCache>
                <c:ptCount val="4"/>
                <c:pt idx="0">
                  <c:v>ENGRO 2023</c:v>
                </c:pt>
                <c:pt idx="1">
                  <c:v>ENGRO 2024</c:v>
                </c:pt>
                <c:pt idx="2">
                  <c:v>ENGRO 2025</c:v>
                </c:pt>
                <c:pt idx="3">
                  <c:v>FFC 2025</c:v>
                </c:pt>
              </c:strCache>
            </c:strRef>
          </c:cat>
          <c:val>
            <c:numRef>
              <c:f>Ratios!$C$36:$F$36</c:f>
              <c:numCache>
                <c:formatCode>0.0%</c:formatCode>
                <c:ptCount val="4"/>
                <c:pt idx="0">
                  <c:v>0.32318168953813875</c:v>
                </c:pt>
                <c:pt idx="1">
                  <c:v>0.28161916858313246</c:v>
                </c:pt>
                <c:pt idx="2">
                  <c:v>0.30596194287484879</c:v>
                </c:pt>
                <c:pt idx="3">
                  <c:v>0.30772476974109292</c:v>
                </c:pt>
              </c:numCache>
            </c:numRef>
          </c:val>
          <c:extLst>
            <c:ext xmlns:c16="http://schemas.microsoft.com/office/drawing/2014/chart" uri="{C3380CC4-5D6E-409C-BE32-E72D297353CC}">
              <c16:uniqueId val="{00000000-59CC-4E0D-A2DF-AC6A153ED94B}"/>
            </c:ext>
          </c:extLst>
        </c:ser>
        <c:ser>
          <c:idx val="1"/>
          <c:order val="1"/>
          <c:tx>
            <c:strRef>
              <c:f>Ratios!$A$37:$B$37</c:f>
              <c:strCache>
                <c:ptCount val="2"/>
                <c:pt idx="0">
                  <c:v>Net Profit (NP) Margin</c:v>
                </c:pt>
                <c:pt idx="1">
                  <c:v>Net Profit ÷ Net Sales</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Ratios!$C$34:$F$35</c:f>
              <c:strCache>
                <c:ptCount val="4"/>
                <c:pt idx="0">
                  <c:v>ENGRO 2023</c:v>
                </c:pt>
                <c:pt idx="1">
                  <c:v>ENGRO 2024</c:v>
                </c:pt>
                <c:pt idx="2">
                  <c:v>ENGRO 2025</c:v>
                </c:pt>
                <c:pt idx="3">
                  <c:v>FFC 2025</c:v>
                </c:pt>
              </c:strCache>
            </c:strRef>
          </c:cat>
          <c:val>
            <c:numRef>
              <c:f>Ratios!$C$37:$F$37</c:f>
              <c:numCache>
                <c:formatCode>0.0%</c:formatCode>
                <c:ptCount val="4"/>
                <c:pt idx="0">
                  <c:v>0.11707896456591289</c:v>
                </c:pt>
                <c:pt idx="1">
                  <c:v>0.11010117874162995</c:v>
                </c:pt>
                <c:pt idx="2">
                  <c:v>9.542431997842743E-2</c:v>
                </c:pt>
                <c:pt idx="3">
                  <c:v>0.17582703957747167</c:v>
                </c:pt>
              </c:numCache>
            </c:numRef>
          </c:val>
          <c:extLst>
            <c:ext xmlns:c16="http://schemas.microsoft.com/office/drawing/2014/chart" uri="{C3380CC4-5D6E-409C-BE32-E72D297353CC}">
              <c16:uniqueId val="{00000001-59CC-4E0D-A2DF-AC6A153ED94B}"/>
            </c:ext>
          </c:extLst>
        </c:ser>
        <c:ser>
          <c:idx val="2"/>
          <c:order val="2"/>
          <c:tx>
            <c:strRef>
              <c:f>Ratios!$A$38:$B$38</c:f>
              <c:strCache>
                <c:ptCount val="2"/>
                <c:pt idx="0">
                  <c:v>Return on Investment / ROA</c:v>
                </c:pt>
                <c:pt idx="1">
                  <c:v>Net Profit ÷ Total Assets</c:v>
                </c:pt>
              </c:strCache>
            </c:strRef>
          </c:tx>
          <c:spPr>
            <a:solidFill>
              <a:srgbClr val="9BBB59"/>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Ratios!$C$34:$F$35</c:f>
              <c:strCache>
                <c:ptCount val="4"/>
                <c:pt idx="0">
                  <c:v>ENGRO 2023</c:v>
                </c:pt>
                <c:pt idx="1">
                  <c:v>ENGRO 2024</c:v>
                </c:pt>
                <c:pt idx="2">
                  <c:v>ENGRO 2025</c:v>
                </c:pt>
                <c:pt idx="3">
                  <c:v>FFC 2025</c:v>
                </c:pt>
              </c:strCache>
            </c:strRef>
          </c:cat>
          <c:val>
            <c:numRef>
              <c:f>Ratios!$C$38:$F$38</c:f>
              <c:numCache>
                <c:formatCode>0.0%</c:formatCode>
                <c:ptCount val="4"/>
                <c:pt idx="0">
                  <c:v>0.16283677708160402</c:v>
                </c:pt>
                <c:pt idx="1">
                  <c:v>0.16564999108158746</c:v>
                </c:pt>
                <c:pt idx="2">
                  <c:v>0.11362920225048254</c:v>
                </c:pt>
                <c:pt idx="3">
                  <c:v>0.1387032544212973</c:v>
                </c:pt>
              </c:numCache>
            </c:numRef>
          </c:val>
          <c:extLst>
            <c:ext xmlns:c16="http://schemas.microsoft.com/office/drawing/2014/chart" uri="{C3380CC4-5D6E-409C-BE32-E72D297353CC}">
              <c16:uniqueId val="{00000002-59CC-4E0D-A2DF-AC6A153ED94B}"/>
            </c:ext>
          </c:extLst>
        </c:ser>
        <c:ser>
          <c:idx val="3"/>
          <c:order val="3"/>
          <c:tx>
            <c:strRef>
              <c:f>Ratios!$A$39:$B$39</c:f>
              <c:strCache>
                <c:ptCount val="2"/>
                <c:pt idx="0">
                  <c:v>Return on Equity (ROE)</c:v>
                </c:pt>
                <c:pt idx="1">
                  <c:v>Net Profit ÷ Total Equity</c:v>
                </c:pt>
              </c:strCache>
            </c:strRef>
          </c:tx>
          <c:spPr>
            <a:solidFill>
              <a:srgbClr val="8064A2"/>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Ratios!$C$34:$F$35</c:f>
              <c:strCache>
                <c:ptCount val="4"/>
                <c:pt idx="0">
                  <c:v>ENGRO 2023</c:v>
                </c:pt>
                <c:pt idx="1">
                  <c:v>ENGRO 2024</c:v>
                </c:pt>
                <c:pt idx="2">
                  <c:v>ENGRO 2025</c:v>
                </c:pt>
                <c:pt idx="3">
                  <c:v>FFC 2025</c:v>
                </c:pt>
              </c:strCache>
            </c:strRef>
          </c:cat>
          <c:val>
            <c:numRef>
              <c:f>Ratios!$C$39:$F$39</c:f>
              <c:numCache>
                <c:formatCode>0.0%</c:formatCode>
                <c:ptCount val="4"/>
                <c:pt idx="0">
                  <c:v>0.54675565111025448</c:v>
                </c:pt>
                <c:pt idx="1">
                  <c:v>0.59547208190794898</c:v>
                </c:pt>
                <c:pt idx="2">
                  <c:v>0.50568582579331489</c:v>
                </c:pt>
                <c:pt idx="3">
                  <c:v>0.32124191922211487</c:v>
                </c:pt>
              </c:numCache>
            </c:numRef>
          </c:val>
          <c:extLst>
            <c:ext xmlns:c16="http://schemas.microsoft.com/office/drawing/2014/chart" uri="{C3380CC4-5D6E-409C-BE32-E72D297353CC}">
              <c16:uniqueId val="{00000003-59CC-4E0D-A2DF-AC6A153ED94B}"/>
            </c:ext>
          </c:extLst>
        </c:ser>
        <c:dLbls>
          <c:showLegendKey val="0"/>
          <c:showVal val="0"/>
          <c:showCatName val="0"/>
          <c:showSerName val="0"/>
          <c:showPercent val="0"/>
          <c:showBubbleSize val="0"/>
        </c:dLbls>
        <c:gapWidth val="219"/>
        <c:overlap val="-27"/>
        <c:axId val="59958647"/>
        <c:axId val="2767986"/>
      </c:barChart>
      <c:catAx>
        <c:axId val="59958647"/>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595959"/>
                </a:solidFill>
                <a:latin typeface="Calibri"/>
              </a:defRPr>
            </a:pPr>
            <a:endParaRPr lang="en-US"/>
          </a:p>
        </c:txPr>
        <c:crossAx val="2767986"/>
        <c:crosses val="autoZero"/>
        <c:auto val="1"/>
        <c:lblAlgn val="ctr"/>
        <c:lblOffset val="100"/>
        <c:noMultiLvlLbl val="0"/>
      </c:catAx>
      <c:valAx>
        <c:axId val="2767986"/>
        <c:scaling>
          <c:orientation val="minMax"/>
        </c:scaling>
        <c:delete val="0"/>
        <c:axPos val="l"/>
        <c:majorGridlines>
          <c:spPr>
            <a:ln w="9360">
              <a:solidFill>
                <a:srgbClr val="D9D9D9"/>
              </a:solidFill>
              <a:round/>
            </a:ln>
          </c:spPr>
        </c:majorGridlines>
        <c:numFmt formatCode="0.0%" sourceLinked="0"/>
        <c:majorTickMark val="none"/>
        <c:minorTickMark val="none"/>
        <c:tickLblPos val="nextTo"/>
        <c:spPr>
          <a:ln w="9360">
            <a:noFill/>
          </a:ln>
        </c:spPr>
        <c:txPr>
          <a:bodyPr/>
          <a:lstStyle/>
          <a:p>
            <a:pPr>
              <a:defRPr sz="900" b="0" strike="noStrike" spc="-1">
                <a:solidFill>
                  <a:srgbClr val="595959"/>
                </a:solidFill>
                <a:latin typeface="Calibri"/>
              </a:defRPr>
            </a:pPr>
            <a:endParaRPr lang="en-US"/>
          </a:p>
        </c:txPr>
        <c:crossAx val="5995864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GB" sz="1400" b="0" strike="noStrike" spc="-1">
                <a:solidFill>
                  <a:srgbClr val="595959"/>
                </a:solidFill>
                <a:latin typeface="Calibri"/>
              </a:defRPr>
            </a:pPr>
            <a:r>
              <a:rPr lang="en-GB" sz="1400" b="0" strike="noStrike" spc="-1">
                <a:solidFill>
                  <a:srgbClr val="595959"/>
                </a:solidFill>
                <a:latin typeface="Calibri"/>
              </a:rPr>
              <a:t>Coverage ratios</a:t>
            </a:r>
          </a:p>
        </c:rich>
      </c:tx>
      <c:overlay val="0"/>
      <c:spPr>
        <a:noFill/>
        <a:ln w="0">
          <a:noFill/>
        </a:ln>
      </c:spPr>
    </c:title>
    <c:autoTitleDeleted val="0"/>
    <c:plotArea>
      <c:layout/>
      <c:barChart>
        <c:barDir val="col"/>
        <c:grouping val="clustered"/>
        <c:varyColors val="0"/>
        <c:ser>
          <c:idx val="0"/>
          <c:order val="0"/>
          <c:tx>
            <c:strRef>
              <c:f>Ratios!$A$16:$B$16</c:f>
              <c:strCache>
                <c:ptCount val="2"/>
                <c:pt idx="0">
                  <c:v>Times Interest Earned (TIE / ICR)</c:v>
                </c:pt>
                <c:pt idx="1">
                  <c:v>EBIT ÷ Finance Cost</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Ratios!$C$14:$F$15</c:f>
              <c:strCache>
                <c:ptCount val="4"/>
                <c:pt idx="0">
                  <c:v>ENGRO 2023</c:v>
                </c:pt>
                <c:pt idx="1">
                  <c:v>ENGRO 2024</c:v>
                </c:pt>
                <c:pt idx="2">
                  <c:v>ENGRO 2025</c:v>
                </c:pt>
                <c:pt idx="3">
                  <c:v>FFC 2025</c:v>
                </c:pt>
              </c:strCache>
            </c:strRef>
          </c:cat>
          <c:val>
            <c:numRef>
              <c:f>Ratios!$C$16:$F$16</c:f>
              <c:numCache>
                <c:formatCode>0.00</c:formatCode>
                <c:ptCount val="4"/>
                <c:pt idx="0">
                  <c:v>40.826861663196325</c:v>
                </c:pt>
                <c:pt idx="1">
                  <c:v>12.03067859425725</c:v>
                </c:pt>
                <c:pt idx="2">
                  <c:v>7.7165384891501647</c:v>
                </c:pt>
                <c:pt idx="3">
                  <c:v>15.57144583819848</c:v>
                </c:pt>
              </c:numCache>
            </c:numRef>
          </c:val>
          <c:extLst>
            <c:ext xmlns:c16="http://schemas.microsoft.com/office/drawing/2014/chart" uri="{C3380CC4-5D6E-409C-BE32-E72D297353CC}">
              <c16:uniqueId val="{00000000-224B-4DF3-9F69-E0920D43887A}"/>
            </c:ext>
          </c:extLst>
        </c:ser>
        <c:dLbls>
          <c:showLegendKey val="0"/>
          <c:showVal val="0"/>
          <c:showCatName val="0"/>
          <c:showSerName val="0"/>
          <c:showPercent val="0"/>
          <c:showBubbleSize val="0"/>
        </c:dLbls>
        <c:gapWidth val="219"/>
        <c:overlap val="-27"/>
        <c:axId val="57595125"/>
        <c:axId val="74436607"/>
      </c:barChart>
      <c:catAx>
        <c:axId val="57595125"/>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595959"/>
                </a:solidFill>
                <a:latin typeface="Calibri"/>
              </a:defRPr>
            </a:pPr>
            <a:endParaRPr lang="en-US"/>
          </a:p>
        </c:txPr>
        <c:crossAx val="74436607"/>
        <c:crosses val="autoZero"/>
        <c:auto val="1"/>
        <c:lblAlgn val="ctr"/>
        <c:lblOffset val="100"/>
        <c:noMultiLvlLbl val="0"/>
      </c:catAx>
      <c:valAx>
        <c:axId val="74436607"/>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sz="900" b="0" strike="noStrike" spc="-1">
                <a:solidFill>
                  <a:srgbClr val="595959"/>
                </a:solidFill>
                <a:latin typeface="Calibri"/>
              </a:defRPr>
            </a:pPr>
            <a:endParaRPr lang="en-US"/>
          </a:p>
        </c:txPr>
        <c:crossAx val="5759512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Activity</a:t>
            </a:r>
            <a:r>
              <a:rPr lang="en-GB" baseline="0"/>
              <a:t> Ratios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strRef>
              <c:f>Ratios!$A$29:$B$29</c:f>
              <c:strCache>
                <c:ptCount val="2"/>
                <c:pt idx="0">
                  <c:v>Receivable Turnover</c:v>
                </c:pt>
                <c:pt idx="1">
                  <c:v>Net Sales ÷ Trade Debts</c:v>
                </c:pt>
              </c:strCache>
            </c:strRef>
          </c:tx>
          <c:spPr>
            <a:solidFill>
              <a:schemeClr val="accent1"/>
            </a:solidFill>
            <a:ln>
              <a:noFill/>
            </a:ln>
            <a:effectLst/>
          </c:spPr>
          <c:invertIfNegative val="0"/>
          <c:cat>
            <c:multiLvlStrRef>
              <c:f>Ratios!$C$26:$F$28</c:f>
              <c:multiLvlStrCache>
                <c:ptCount val="4"/>
                <c:lvl>
                  <c:pt idx="0">
                    <c:v>2023</c:v>
                  </c:pt>
                  <c:pt idx="1">
                    <c:v>2024</c:v>
                  </c:pt>
                  <c:pt idx="2">
                    <c:v>2025</c:v>
                  </c:pt>
                  <c:pt idx="3">
                    <c:v>2025</c:v>
                  </c:pt>
                </c:lvl>
                <c:lvl>
                  <c:pt idx="0">
                    <c:v>ENGRO</c:v>
                  </c:pt>
                  <c:pt idx="3">
                    <c:v>FFC</c:v>
                  </c:pt>
                </c:lvl>
              </c:multiLvlStrCache>
            </c:multiLvlStrRef>
          </c:cat>
          <c:val>
            <c:numRef>
              <c:f>Ratios!$C$29:$F$29</c:f>
              <c:numCache>
                <c:formatCode>0.00\x</c:formatCode>
                <c:ptCount val="4"/>
                <c:pt idx="0">
                  <c:v>76.808575465365607</c:v>
                </c:pt>
                <c:pt idx="1">
                  <c:v>31.099961094024874</c:v>
                </c:pt>
                <c:pt idx="2">
                  <c:v>14.076472156779312</c:v>
                </c:pt>
                <c:pt idx="3">
                  <c:v>14.270953565024946</c:v>
                </c:pt>
              </c:numCache>
            </c:numRef>
          </c:val>
          <c:extLst>
            <c:ext xmlns:c16="http://schemas.microsoft.com/office/drawing/2014/chart" uri="{C3380CC4-5D6E-409C-BE32-E72D297353CC}">
              <c16:uniqueId val="{00000000-A0D0-433D-A297-7E7566D6434C}"/>
            </c:ext>
          </c:extLst>
        </c:ser>
        <c:ser>
          <c:idx val="1"/>
          <c:order val="1"/>
          <c:tx>
            <c:strRef>
              <c:f>Ratios!$A$30:$B$30</c:f>
              <c:strCache>
                <c:ptCount val="2"/>
                <c:pt idx="0">
                  <c:v>Payable Turnover (PTO)</c:v>
                </c:pt>
                <c:pt idx="1">
                  <c:v>COGS ÷ Trade Payables</c:v>
                </c:pt>
              </c:strCache>
            </c:strRef>
          </c:tx>
          <c:spPr>
            <a:solidFill>
              <a:schemeClr val="accent2"/>
            </a:solidFill>
            <a:ln>
              <a:noFill/>
            </a:ln>
            <a:effectLst/>
          </c:spPr>
          <c:invertIfNegative val="0"/>
          <c:cat>
            <c:multiLvlStrRef>
              <c:f>Ratios!$C$26:$F$28</c:f>
              <c:multiLvlStrCache>
                <c:ptCount val="4"/>
                <c:lvl>
                  <c:pt idx="0">
                    <c:v>2023</c:v>
                  </c:pt>
                  <c:pt idx="1">
                    <c:v>2024</c:v>
                  </c:pt>
                  <c:pt idx="2">
                    <c:v>2025</c:v>
                  </c:pt>
                  <c:pt idx="3">
                    <c:v>2025</c:v>
                  </c:pt>
                </c:lvl>
                <c:lvl>
                  <c:pt idx="0">
                    <c:v>ENGRO</c:v>
                  </c:pt>
                  <c:pt idx="3">
                    <c:v>FFC</c:v>
                  </c:pt>
                </c:lvl>
              </c:multiLvlStrCache>
            </c:multiLvlStrRef>
          </c:cat>
          <c:val>
            <c:numRef>
              <c:f>Ratios!$C$30:$F$30</c:f>
              <c:numCache>
                <c:formatCode>0.00\x</c:formatCode>
                <c:ptCount val="4"/>
                <c:pt idx="0">
                  <c:v>2.0433992849988898</c:v>
                </c:pt>
                <c:pt idx="1">
                  <c:v>2.7683658806460358</c:v>
                </c:pt>
                <c:pt idx="2">
                  <c:v>2.505019619568591</c:v>
                </c:pt>
                <c:pt idx="3">
                  <c:v>1.6188968315563241</c:v>
                </c:pt>
              </c:numCache>
            </c:numRef>
          </c:val>
          <c:extLst>
            <c:ext xmlns:c16="http://schemas.microsoft.com/office/drawing/2014/chart" uri="{C3380CC4-5D6E-409C-BE32-E72D297353CC}">
              <c16:uniqueId val="{00000001-A0D0-433D-A297-7E7566D6434C}"/>
            </c:ext>
          </c:extLst>
        </c:ser>
        <c:ser>
          <c:idx val="2"/>
          <c:order val="2"/>
          <c:tx>
            <c:strRef>
              <c:f>Ratios!$A$31:$B$31</c:f>
              <c:strCache>
                <c:ptCount val="2"/>
                <c:pt idx="0">
                  <c:v>Inventory Turnover (ITO)</c:v>
                </c:pt>
                <c:pt idx="1">
                  <c:v>COGS ÷ Stock-in-Trade</c:v>
                </c:pt>
              </c:strCache>
            </c:strRef>
          </c:tx>
          <c:spPr>
            <a:solidFill>
              <a:schemeClr val="accent3"/>
            </a:solidFill>
            <a:ln>
              <a:noFill/>
            </a:ln>
            <a:effectLst/>
          </c:spPr>
          <c:invertIfNegative val="0"/>
          <c:cat>
            <c:multiLvlStrRef>
              <c:f>Ratios!$C$26:$F$28</c:f>
              <c:multiLvlStrCache>
                <c:ptCount val="4"/>
                <c:lvl>
                  <c:pt idx="0">
                    <c:v>2023</c:v>
                  </c:pt>
                  <c:pt idx="1">
                    <c:v>2024</c:v>
                  </c:pt>
                  <c:pt idx="2">
                    <c:v>2025</c:v>
                  </c:pt>
                  <c:pt idx="3">
                    <c:v>2025</c:v>
                  </c:pt>
                </c:lvl>
                <c:lvl>
                  <c:pt idx="0">
                    <c:v>ENGRO</c:v>
                  </c:pt>
                  <c:pt idx="3">
                    <c:v>FFC</c:v>
                  </c:pt>
                </c:lvl>
              </c:multiLvlStrCache>
            </c:multiLvlStrRef>
          </c:cat>
          <c:val>
            <c:numRef>
              <c:f>Ratios!$C$31:$F$31</c:f>
              <c:numCache>
                <c:formatCode>0.00\x</c:formatCode>
                <c:ptCount val="4"/>
                <c:pt idx="0">
                  <c:v>9.8599752340409186</c:v>
                </c:pt>
                <c:pt idx="1">
                  <c:v>6.8985038717599449</c:v>
                </c:pt>
                <c:pt idx="2">
                  <c:v>6.4059207570188939</c:v>
                </c:pt>
                <c:pt idx="3">
                  <c:v>7.385330550265885</c:v>
                </c:pt>
              </c:numCache>
            </c:numRef>
          </c:val>
          <c:extLst>
            <c:ext xmlns:c16="http://schemas.microsoft.com/office/drawing/2014/chart" uri="{C3380CC4-5D6E-409C-BE32-E72D297353CC}">
              <c16:uniqueId val="{00000002-A0D0-433D-A297-7E7566D6434C}"/>
            </c:ext>
          </c:extLst>
        </c:ser>
        <c:ser>
          <c:idx val="3"/>
          <c:order val="3"/>
          <c:tx>
            <c:strRef>
              <c:f>Ratios!$A$32:$B$32</c:f>
              <c:strCache>
                <c:ptCount val="2"/>
                <c:pt idx="0">
                  <c:v>Total Asset Turnover</c:v>
                </c:pt>
                <c:pt idx="1">
                  <c:v>Net Sales ÷ Total Assets</c:v>
                </c:pt>
              </c:strCache>
            </c:strRef>
          </c:tx>
          <c:spPr>
            <a:solidFill>
              <a:schemeClr val="accent4"/>
            </a:solidFill>
            <a:ln>
              <a:noFill/>
            </a:ln>
            <a:effectLst/>
          </c:spPr>
          <c:invertIfNegative val="0"/>
          <c:cat>
            <c:multiLvlStrRef>
              <c:f>Ratios!$C$26:$F$28</c:f>
              <c:multiLvlStrCache>
                <c:ptCount val="4"/>
                <c:lvl>
                  <c:pt idx="0">
                    <c:v>2023</c:v>
                  </c:pt>
                  <c:pt idx="1">
                    <c:v>2024</c:v>
                  </c:pt>
                  <c:pt idx="2">
                    <c:v>2025</c:v>
                  </c:pt>
                  <c:pt idx="3">
                    <c:v>2025</c:v>
                  </c:pt>
                </c:lvl>
                <c:lvl>
                  <c:pt idx="0">
                    <c:v>ENGRO</c:v>
                  </c:pt>
                  <c:pt idx="3">
                    <c:v>FFC</c:v>
                  </c:pt>
                </c:lvl>
              </c:multiLvlStrCache>
            </c:multiLvlStrRef>
          </c:cat>
          <c:val>
            <c:numRef>
              <c:f>Ratios!$C$32:$F$32</c:f>
              <c:numCache>
                <c:formatCode>0.00\x</c:formatCode>
                <c:ptCount val="4"/>
                <c:pt idx="0">
                  <c:v>1.3908286401860899</c:v>
                </c:pt>
                <c:pt idx="1">
                  <c:v>1.5045251374675261</c:v>
                </c:pt>
                <c:pt idx="2">
                  <c:v>1.1907782237921181</c:v>
                </c:pt>
                <c:pt idx="3">
                  <c:v>0.78886191085633806</c:v>
                </c:pt>
              </c:numCache>
            </c:numRef>
          </c:val>
          <c:extLst>
            <c:ext xmlns:c16="http://schemas.microsoft.com/office/drawing/2014/chart" uri="{C3380CC4-5D6E-409C-BE32-E72D297353CC}">
              <c16:uniqueId val="{00000003-A0D0-433D-A297-7E7566D6434C}"/>
            </c:ext>
          </c:extLst>
        </c:ser>
        <c:dLbls>
          <c:showLegendKey val="0"/>
          <c:showVal val="0"/>
          <c:showCatName val="0"/>
          <c:showSerName val="0"/>
          <c:showPercent val="0"/>
          <c:showBubbleSize val="0"/>
        </c:dLbls>
        <c:gapWidth val="219"/>
        <c:overlap val="-27"/>
        <c:axId val="1190409343"/>
        <c:axId val="1190410783"/>
      </c:barChart>
      <c:catAx>
        <c:axId val="119040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410783"/>
        <c:crosses val="autoZero"/>
        <c:auto val="1"/>
        <c:lblAlgn val="ctr"/>
        <c:lblOffset val="100"/>
        <c:noMultiLvlLbl val="0"/>
      </c:catAx>
      <c:valAx>
        <c:axId val="1190410783"/>
        <c:scaling>
          <c:orientation val="minMax"/>
        </c:scaling>
        <c:delete val="0"/>
        <c:axPos val="l"/>
        <c:majorGridlines>
          <c:spPr>
            <a:ln w="9525" cap="flat" cmpd="sng" algn="ctr">
              <a:solidFill>
                <a:schemeClr val="tx1">
                  <a:lumMod val="15000"/>
                  <a:lumOff val="85000"/>
                </a:schemeClr>
              </a:solidFill>
              <a:round/>
            </a:ln>
            <a:effectLst/>
          </c:spPr>
        </c:majorGridlines>
        <c:numFmt formatCode="0.00\x"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409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Activity Ratios(Days)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Ratios!$C$18:$C$20</c:f>
              <c:strCache>
                <c:ptCount val="3"/>
                <c:pt idx="0">
                  <c:v>D. ACTIVITY / EFFICIENCY RATIOS(Days)</c:v>
                </c:pt>
                <c:pt idx="1">
                  <c:v>ENGRO</c:v>
                </c:pt>
                <c:pt idx="2">
                  <c:v>ENGRO 2023</c:v>
                </c:pt>
              </c:strCache>
            </c:strRef>
          </c:tx>
          <c:spPr>
            <a:solidFill>
              <a:schemeClr val="accent1"/>
            </a:solidFill>
            <a:ln>
              <a:noFill/>
            </a:ln>
            <a:effectLst/>
          </c:spPr>
          <c:invertIfNegative val="0"/>
          <c:cat>
            <c:strRef>
              <c:f>Ratios!$A$21:$B$25</c:f>
              <c:strCache>
                <c:ptCount val="5"/>
                <c:pt idx="0">
                  <c:v>Average Collection Period (ACP)</c:v>
                </c:pt>
                <c:pt idx="1">
                  <c:v>Payable Turnover in Days (PTO days)</c:v>
                </c:pt>
                <c:pt idx="2">
                  <c:v>Inventory Turnover in Days (ITO days)</c:v>
                </c:pt>
                <c:pt idx="3">
                  <c:v>Operating Cycle</c:v>
                </c:pt>
                <c:pt idx="4">
                  <c:v>Cash Conversion Cycle</c:v>
                </c:pt>
              </c:strCache>
            </c:strRef>
          </c:cat>
          <c:val>
            <c:numRef>
              <c:f>Ratios!$C$21:$C$25</c:f>
              <c:numCache>
                <c:formatCode>0.0" days"</c:formatCode>
                <c:ptCount val="5"/>
                <c:pt idx="0">
                  <c:v>4.7520735515344272</c:v>
                </c:pt>
                <c:pt idx="1">
                  <c:v>178.6239246923287</c:v>
                </c:pt>
                <c:pt idx="2">
                  <c:v>37.018348559321062</c:v>
                </c:pt>
                <c:pt idx="3">
                  <c:v>41.770422110855492</c:v>
                </c:pt>
                <c:pt idx="4">
                  <c:v>-136.85350258147321</c:v>
                </c:pt>
              </c:numCache>
            </c:numRef>
          </c:val>
          <c:extLst>
            <c:ext xmlns:c16="http://schemas.microsoft.com/office/drawing/2014/chart" uri="{C3380CC4-5D6E-409C-BE32-E72D297353CC}">
              <c16:uniqueId val="{00000000-A5DA-4C4A-B72D-B2F4F13A41DD}"/>
            </c:ext>
          </c:extLst>
        </c:ser>
        <c:ser>
          <c:idx val="1"/>
          <c:order val="1"/>
          <c:tx>
            <c:strRef>
              <c:f>Ratios!$D$18:$D$20</c:f>
              <c:strCache>
                <c:ptCount val="3"/>
                <c:pt idx="0">
                  <c:v>D. ACTIVITY / EFFICIENCY RATIOS(Days)</c:v>
                </c:pt>
                <c:pt idx="1">
                  <c:v>ENGRO</c:v>
                </c:pt>
                <c:pt idx="2">
                  <c:v>ENGRO 2024</c:v>
                </c:pt>
              </c:strCache>
            </c:strRef>
          </c:tx>
          <c:spPr>
            <a:solidFill>
              <a:schemeClr val="accent2"/>
            </a:solidFill>
            <a:ln>
              <a:noFill/>
            </a:ln>
            <a:effectLst/>
          </c:spPr>
          <c:invertIfNegative val="0"/>
          <c:cat>
            <c:strRef>
              <c:f>Ratios!$A$21:$B$25</c:f>
              <c:strCache>
                <c:ptCount val="5"/>
                <c:pt idx="0">
                  <c:v>Average Collection Period (ACP)</c:v>
                </c:pt>
                <c:pt idx="1">
                  <c:v>Payable Turnover in Days (PTO days)</c:v>
                </c:pt>
                <c:pt idx="2">
                  <c:v>Inventory Turnover in Days (ITO days)</c:v>
                </c:pt>
                <c:pt idx="3">
                  <c:v>Operating Cycle</c:v>
                </c:pt>
                <c:pt idx="4">
                  <c:v>Cash Conversion Cycle</c:v>
                </c:pt>
              </c:strCache>
            </c:strRef>
          </c:cat>
          <c:val>
            <c:numRef>
              <c:f>Ratios!$D$21:$D$25</c:f>
              <c:numCache>
                <c:formatCode>0.0" days"</c:formatCode>
                <c:ptCount val="5"/>
                <c:pt idx="0">
                  <c:v>11.736349087270279</c:v>
                </c:pt>
                <c:pt idx="1">
                  <c:v>131.84673404326969</c:v>
                </c:pt>
                <c:pt idx="2">
                  <c:v>52.910023214480169</c:v>
                </c:pt>
                <c:pt idx="3">
                  <c:v>64.646372301750446</c:v>
                </c:pt>
                <c:pt idx="4">
                  <c:v>-67.200361741519245</c:v>
                </c:pt>
              </c:numCache>
            </c:numRef>
          </c:val>
          <c:extLst>
            <c:ext xmlns:c16="http://schemas.microsoft.com/office/drawing/2014/chart" uri="{C3380CC4-5D6E-409C-BE32-E72D297353CC}">
              <c16:uniqueId val="{00000001-A5DA-4C4A-B72D-B2F4F13A41DD}"/>
            </c:ext>
          </c:extLst>
        </c:ser>
        <c:ser>
          <c:idx val="2"/>
          <c:order val="2"/>
          <c:tx>
            <c:strRef>
              <c:f>Ratios!$E$18:$E$20</c:f>
              <c:strCache>
                <c:ptCount val="3"/>
                <c:pt idx="0">
                  <c:v>D. ACTIVITY / EFFICIENCY RATIOS(Days)</c:v>
                </c:pt>
                <c:pt idx="1">
                  <c:v>ENGRO</c:v>
                </c:pt>
                <c:pt idx="2">
                  <c:v>ENGRO 2025</c:v>
                </c:pt>
              </c:strCache>
            </c:strRef>
          </c:tx>
          <c:spPr>
            <a:solidFill>
              <a:schemeClr val="accent3"/>
            </a:solidFill>
            <a:ln>
              <a:noFill/>
            </a:ln>
            <a:effectLst/>
          </c:spPr>
          <c:invertIfNegative val="0"/>
          <c:cat>
            <c:strRef>
              <c:f>Ratios!$A$21:$B$25</c:f>
              <c:strCache>
                <c:ptCount val="5"/>
                <c:pt idx="0">
                  <c:v>Average Collection Period (ACP)</c:v>
                </c:pt>
                <c:pt idx="1">
                  <c:v>Payable Turnover in Days (PTO days)</c:v>
                </c:pt>
                <c:pt idx="2">
                  <c:v>Inventory Turnover in Days (ITO days)</c:v>
                </c:pt>
                <c:pt idx="3">
                  <c:v>Operating Cycle</c:v>
                </c:pt>
                <c:pt idx="4">
                  <c:v>Cash Conversion Cycle</c:v>
                </c:pt>
              </c:strCache>
            </c:strRef>
          </c:cat>
          <c:val>
            <c:numRef>
              <c:f>Ratios!$E$21:$E$25</c:f>
              <c:numCache>
                <c:formatCode>0.0" days"</c:formatCode>
                <c:ptCount val="5"/>
                <c:pt idx="0">
                  <c:v>25.929792346743199</c:v>
                </c:pt>
                <c:pt idx="1">
                  <c:v>145.70744162988214</c:v>
                </c:pt>
                <c:pt idx="2">
                  <c:v>56.978538112584936</c:v>
                </c:pt>
                <c:pt idx="3">
                  <c:v>82.908330459328141</c:v>
                </c:pt>
                <c:pt idx="4">
                  <c:v>-62.799111170553999</c:v>
                </c:pt>
              </c:numCache>
            </c:numRef>
          </c:val>
          <c:extLst>
            <c:ext xmlns:c16="http://schemas.microsoft.com/office/drawing/2014/chart" uri="{C3380CC4-5D6E-409C-BE32-E72D297353CC}">
              <c16:uniqueId val="{00000002-A5DA-4C4A-B72D-B2F4F13A41DD}"/>
            </c:ext>
          </c:extLst>
        </c:ser>
        <c:ser>
          <c:idx val="3"/>
          <c:order val="3"/>
          <c:tx>
            <c:strRef>
              <c:f>Ratios!$F$18:$F$20</c:f>
              <c:strCache>
                <c:ptCount val="3"/>
                <c:pt idx="0">
                  <c:v>D. ACTIVITY / EFFICIENCY RATIOS(Days)</c:v>
                </c:pt>
                <c:pt idx="1">
                  <c:v>FFC</c:v>
                </c:pt>
                <c:pt idx="2">
                  <c:v>FFC 2025</c:v>
                </c:pt>
              </c:strCache>
            </c:strRef>
          </c:tx>
          <c:spPr>
            <a:solidFill>
              <a:schemeClr val="accent4"/>
            </a:solidFill>
            <a:ln>
              <a:noFill/>
            </a:ln>
            <a:effectLst/>
          </c:spPr>
          <c:invertIfNegative val="0"/>
          <c:cat>
            <c:strRef>
              <c:f>Ratios!$A$21:$B$25</c:f>
              <c:strCache>
                <c:ptCount val="5"/>
                <c:pt idx="0">
                  <c:v>Average Collection Period (ACP)</c:v>
                </c:pt>
                <c:pt idx="1">
                  <c:v>Payable Turnover in Days (PTO days)</c:v>
                </c:pt>
                <c:pt idx="2">
                  <c:v>Inventory Turnover in Days (ITO days)</c:v>
                </c:pt>
                <c:pt idx="3">
                  <c:v>Operating Cycle</c:v>
                </c:pt>
                <c:pt idx="4">
                  <c:v>Cash Conversion Cycle</c:v>
                </c:pt>
              </c:strCache>
            </c:strRef>
          </c:cat>
          <c:val>
            <c:numRef>
              <c:f>Ratios!$F$21:$F$25</c:f>
              <c:numCache>
                <c:formatCode>0.0" days"</c:formatCode>
                <c:ptCount val="5"/>
                <c:pt idx="0">
                  <c:v>25.576426854512153</c:v>
                </c:pt>
                <c:pt idx="1">
                  <c:v>225.46217454086178</c:v>
                </c:pt>
                <c:pt idx="2">
                  <c:v>49.422297013755106</c:v>
                </c:pt>
                <c:pt idx="3">
                  <c:v>74.998723868267263</c:v>
                </c:pt>
                <c:pt idx="4">
                  <c:v>-150.46345067259452</c:v>
                </c:pt>
              </c:numCache>
            </c:numRef>
          </c:val>
          <c:extLst>
            <c:ext xmlns:c16="http://schemas.microsoft.com/office/drawing/2014/chart" uri="{C3380CC4-5D6E-409C-BE32-E72D297353CC}">
              <c16:uniqueId val="{00000003-A5DA-4C4A-B72D-B2F4F13A41DD}"/>
            </c:ext>
          </c:extLst>
        </c:ser>
        <c:dLbls>
          <c:showLegendKey val="0"/>
          <c:showVal val="0"/>
          <c:showCatName val="0"/>
          <c:showSerName val="0"/>
          <c:showPercent val="0"/>
          <c:showBubbleSize val="0"/>
        </c:dLbls>
        <c:gapWidth val="219"/>
        <c:overlap val="-27"/>
        <c:axId val="1280651311"/>
        <c:axId val="1280649871"/>
      </c:barChart>
      <c:catAx>
        <c:axId val="128065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649871"/>
        <c:crosses val="autoZero"/>
        <c:auto val="1"/>
        <c:lblAlgn val="ctr"/>
        <c:lblOffset val="100"/>
        <c:noMultiLvlLbl val="0"/>
      </c:catAx>
      <c:valAx>
        <c:axId val="1280649871"/>
        <c:scaling>
          <c:orientation val="minMax"/>
        </c:scaling>
        <c:delete val="0"/>
        <c:axPos val="l"/>
        <c:majorGridlines>
          <c:spPr>
            <a:ln w="9525" cap="flat" cmpd="sng" algn="ctr">
              <a:solidFill>
                <a:schemeClr val="tx1">
                  <a:lumMod val="15000"/>
                  <a:lumOff val="85000"/>
                </a:schemeClr>
              </a:solidFill>
              <a:round/>
            </a:ln>
            <a:effectLst/>
          </c:spPr>
        </c:majorGridlines>
        <c:numFmt formatCode="0.0&quot; days&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6513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385560</xdr:colOff>
      <xdr:row>2</xdr:row>
      <xdr:rowOff>138960</xdr:rowOff>
    </xdr:from>
    <xdr:to>
      <xdr:col>15</xdr:col>
      <xdr:colOff>95040</xdr:colOff>
      <xdr:row>13</xdr:row>
      <xdr:rowOff>214920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322200</xdr:colOff>
      <xdr:row>2</xdr:row>
      <xdr:rowOff>120600</xdr:rowOff>
    </xdr:from>
    <xdr:to>
      <xdr:col>23</xdr:col>
      <xdr:colOff>31680</xdr:colOff>
      <xdr:row>13</xdr:row>
      <xdr:rowOff>196560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394560</xdr:colOff>
      <xdr:row>17</xdr:row>
      <xdr:rowOff>220320</xdr:rowOff>
    </xdr:from>
    <xdr:to>
      <xdr:col>23</xdr:col>
      <xdr:colOff>104040</xdr:colOff>
      <xdr:row>30</xdr:row>
      <xdr:rowOff>42120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430920</xdr:colOff>
      <xdr:row>17</xdr:row>
      <xdr:rowOff>220320</xdr:rowOff>
    </xdr:from>
    <xdr:to>
      <xdr:col>15</xdr:col>
      <xdr:colOff>140400</xdr:colOff>
      <xdr:row>30</xdr:row>
      <xdr:rowOff>42120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427869</xdr:colOff>
      <xdr:row>30</xdr:row>
      <xdr:rowOff>79829</xdr:rowOff>
    </xdr:from>
    <xdr:to>
      <xdr:col>15</xdr:col>
      <xdr:colOff>161774</xdr:colOff>
      <xdr:row>44</xdr:row>
      <xdr:rowOff>146957</xdr:rowOff>
    </xdr:to>
    <xdr:graphicFrame macro="">
      <xdr:nvGraphicFramePr>
        <xdr:cNvPr id="7" name="Chart 6">
          <a:extLst>
            <a:ext uri="{FF2B5EF4-FFF2-40B4-BE49-F238E27FC236}">
              <a16:creationId xmlns:a16="http://schemas.microsoft.com/office/drawing/2014/main" id="{514AD3ED-22BC-A6DB-4908-2B3C0FD06D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397631</xdr:colOff>
      <xdr:row>30</xdr:row>
      <xdr:rowOff>140305</xdr:rowOff>
    </xdr:from>
    <xdr:to>
      <xdr:col>23</xdr:col>
      <xdr:colOff>131535</xdr:colOff>
      <xdr:row>45</xdr:row>
      <xdr:rowOff>26005</xdr:rowOff>
    </xdr:to>
    <xdr:graphicFrame macro="">
      <xdr:nvGraphicFramePr>
        <xdr:cNvPr id="8" name="Chart 7">
          <a:extLst>
            <a:ext uri="{FF2B5EF4-FFF2-40B4-BE49-F238E27FC236}">
              <a16:creationId xmlns:a16="http://schemas.microsoft.com/office/drawing/2014/main" id="{3AFA3B1D-322F-4EDE-76B3-9B53B3A233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6"/>
  <sheetViews>
    <sheetView showGridLines="0" zoomScale="84" zoomScaleNormal="84" workbookViewId="0">
      <selection activeCell="I5" sqref="I5"/>
    </sheetView>
  </sheetViews>
  <sheetFormatPr defaultColWidth="8.6328125" defaultRowHeight="14.5" x14ac:dyDescent="0.35"/>
  <cols>
    <col min="1" max="1" width="40.81640625" customWidth="1"/>
    <col min="2" max="4" width="18" customWidth="1"/>
    <col min="5" max="5" width="23.7265625" customWidth="1"/>
    <col min="6" max="6" width="4" customWidth="1"/>
  </cols>
  <sheetData>
    <row r="1" spans="1:5" ht="30" customHeight="1" x14ac:dyDescent="0.35">
      <c r="A1" s="59" t="s">
        <v>0</v>
      </c>
      <c r="B1" s="59"/>
      <c r="C1" s="59"/>
      <c r="D1" s="59"/>
      <c r="E1" s="59"/>
    </row>
    <row r="2" spans="1:5" ht="30" customHeight="1" x14ac:dyDescent="0.35">
      <c r="A2" s="60" t="s">
        <v>1</v>
      </c>
      <c r="B2" s="60"/>
      <c r="C2" s="60"/>
      <c r="D2" s="60"/>
      <c r="E2" s="60"/>
    </row>
    <row r="3" spans="1:5" x14ac:dyDescent="0.35">
      <c r="A3" s="61"/>
      <c r="B3" s="61"/>
      <c r="C3" s="61"/>
      <c r="D3" s="61"/>
      <c r="E3" s="61"/>
    </row>
    <row r="4" spans="1:5" ht="19.5" customHeight="1" x14ac:dyDescent="0.35">
      <c r="A4" s="1" t="s">
        <v>2</v>
      </c>
      <c r="B4" s="1" t="s">
        <v>3</v>
      </c>
      <c r="C4" s="1" t="s">
        <v>4</v>
      </c>
      <c r="D4" s="1" t="s">
        <v>5</v>
      </c>
      <c r="E4" s="1" t="s">
        <v>6</v>
      </c>
    </row>
    <row r="5" spans="1:5" ht="21.75" customHeight="1" x14ac:dyDescent="0.35">
      <c r="A5" s="57" t="s">
        <v>7</v>
      </c>
      <c r="B5" s="57"/>
      <c r="C5" s="57"/>
      <c r="D5" s="57"/>
      <c r="E5" s="57"/>
    </row>
    <row r="6" spans="1:5" ht="18" customHeight="1" x14ac:dyDescent="0.35">
      <c r="A6" s="57" t="s">
        <v>8</v>
      </c>
      <c r="B6" s="57"/>
      <c r="C6" s="57"/>
      <c r="D6" s="57"/>
      <c r="E6" s="57"/>
    </row>
    <row r="7" spans="1:5" ht="18" customHeight="1" x14ac:dyDescent="0.35">
      <c r="A7" s="2" t="s">
        <v>9</v>
      </c>
      <c r="B7" s="3">
        <v>78440081</v>
      </c>
      <c r="C7" s="3">
        <v>83137431</v>
      </c>
      <c r="D7" s="3">
        <v>92391260</v>
      </c>
      <c r="E7" s="3">
        <v>132494031</v>
      </c>
    </row>
    <row r="8" spans="1:5" ht="18" customHeight="1" x14ac:dyDescent="0.35">
      <c r="A8" s="2" t="s">
        <v>10</v>
      </c>
      <c r="B8" s="3">
        <v>5184192</v>
      </c>
      <c r="C8" s="3">
        <v>5007551</v>
      </c>
      <c r="D8" s="3">
        <v>4779969</v>
      </c>
      <c r="E8" s="3">
        <v>2037672</v>
      </c>
    </row>
    <row r="9" spans="1:5" ht="18" customHeight="1" x14ac:dyDescent="0.35">
      <c r="A9" s="2" t="s">
        <v>11</v>
      </c>
      <c r="B9" s="3">
        <v>202134</v>
      </c>
      <c r="C9" s="3">
        <v>4268249</v>
      </c>
      <c r="D9" s="3">
        <v>4348915</v>
      </c>
      <c r="E9" s="3">
        <v>146225194</v>
      </c>
    </row>
    <row r="10" spans="1:5" ht="18" customHeight="1" x14ac:dyDescent="0.35">
      <c r="A10" s="2" t="s">
        <v>12</v>
      </c>
      <c r="B10" s="3">
        <v>209806</v>
      </c>
      <c r="C10" s="3">
        <v>197921</v>
      </c>
      <c r="D10" s="3">
        <v>1534786</v>
      </c>
      <c r="E10" s="3">
        <v>4529993</v>
      </c>
    </row>
    <row r="11" spans="1:5" ht="18" customHeight="1" x14ac:dyDescent="0.35">
      <c r="A11" s="2" t="s">
        <v>13</v>
      </c>
      <c r="B11" s="3">
        <v>0</v>
      </c>
      <c r="C11" s="3">
        <v>0</v>
      </c>
      <c r="D11" s="3">
        <v>0</v>
      </c>
      <c r="E11" s="3">
        <v>146962</v>
      </c>
    </row>
    <row r="12" spans="1:5" ht="18" customHeight="1" x14ac:dyDescent="0.35">
      <c r="A12" s="4" t="s">
        <v>14</v>
      </c>
      <c r="B12" s="5">
        <f>B7+B8+B9+B10</f>
        <v>84036213</v>
      </c>
      <c r="C12" s="5">
        <f>C7+C8+C9+C10</f>
        <v>92611152</v>
      </c>
      <c r="D12" s="5">
        <f>D7+D8+D9+D10</f>
        <v>103054930</v>
      </c>
      <c r="E12" s="5">
        <f>E7+E8+E9+E10+E11</f>
        <v>285433852</v>
      </c>
    </row>
    <row r="13" spans="1:5" ht="18" customHeight="1" x14ac:dyDescent="0.35">
      <c r="A13" s="57" t="s">
        <v>15</v>
      </c>
      <c r="B13" s="57"/>
      <c r="C13" s="57"/>
      <c r="D13" s="57"/>
      <c r="E13" s="57"/>
    </row>
    <row r="14" spans="1:5" ht="18" customHeight="1" x14ac:dyDescent="0.35">
      <c r="A14" s="2" t="s">
        <v>16</v>
      </c>
      <c r="B14" s="3">
        <v>8729523</v>
      </c>
      <c r="C14" s="3">
        <v>8239527</v>
      </c>
      <c r="D14" s="3">
        <v>9151070</v>
      </c>
      <c r="E14" s="3">
        <v>18100523</v>
      </c>
    </row>
    <row r="15" spans="1:5" ht="18" customHeight="1" x14ac:dyDescent="0.35">
      <c r="A15" s="2" t="s">
        <v>17</v>
      </c>
      <c r="B15" s="3">
        <v>15355755</v>
      </c>
      <c r="C15" s="3">
        <v>26729059</v>
      </c>
      <c r="D15" s="3">
        <v>25691512</v>
      </c>
      <c r="E15" s="3">
        <v>45350440</v>
      </c>
    </row>
    <row r="16" spans="1:5" ht="18" customHeight="1" x14ac:dyDescent="0.35">
      <c r="A16" s="2" t="s">
        <v>18</v>
      </c>
      <c r="B16" s="3">
        <v>2912495</v>
      </c>
      <c r="C16" s="3">
        <v>8253231</v>
      </c>
      <c r="D16" s="3">
        <v>16845896</v>
      </c>
      <c r="E16" s="3">
        <v>33901558</v>
      </c>
    </row>
    <row r="17" spans="1:5" ht="18" customHeight="1" x14ac:dyDescent="0.35">
      <c r="A17" s="2" t="s">
        <v>19</v>
      </c>
      <c r="B17" s="3">
        <v>0</v>
      </c>
      <c r="C17" s="3">
        <v>0</v>
      </c>
      <c r="D17" s="3">
        <v>0</v>
      </c>
      <c r="E17" s="3">
        <v>1515730</v>
      </c>
    </row>
    <row r="18" spans="1:5" ht="18" customHeight="1" x14ac:dyDescent="0.35">
      <c r="A18" s="2" t="s">
        <v>20</v>
      </c>
      <c r="B18" s="3">
        <v>16056950</v>
      </c>
      <c r="C18" s="3">
        <v>11995667</v>
      </c>
      <c r="D18" s="3">
        <v>7834671</v>
      </c>
      <c r="E18" s="3">
        <v>8442339</v>
      </c>
    </row>
    <row r="19" spans="1:5" ht="18" customHeight="1" x14ac:dyDescent="0.35">
      <c r="A19" s="2" t="s">
        <v>21</v>
      </c>
      <c r="B19" s="3">
        <v>3993197</v>
      </c>
      <c r="C19" s="3">
        <v>4594998</v>
      </c>
      <c r="D19" s="3">
        <v>3669419</v>
      </c>
      <c r="E19" s="3">
        <v>7554482</v>
      </c>
    </row>
    <row r="20" spans="1:5" ht="18" customHeight="1" x14ac:dyDescent="0.35">
      <c r="A20" s="2" t="s">
        <v>22</v>
      </c>
      <c r="B20" s="3">
        <v>116629</v>
      </c>
      <c r="C20" s="3">
        <v>272080</v>
      </c>
      <c r="D20" s="3">
        <v>147159</v>
      </c>
      <c r="E20" s="3">
        <v>0</v>
      </c>
    </row>
    <row r="21" spans="1:5" ht="18" customHeight="1" x14ac:dyDescent="0.35">
      <c r="A21" s="2" t="s">
        <v>23</v>
      </c>
      <c r="B21" s="3">
        <v>0</v>
      </c>
      <c r="C21" s="3">
        <v>9907395</v>
      </c>
      <c r="D21" s="3">
        <v>8689083</v>
      </c>
      <c r="E21" s="3">
        <v>0</v>
      </c>
    </row>
    <row r="22" spans="1:5" ht="18" customHeight="1" x14ac:dyDescent="0.35">
      <c r="A22" s="2" t="s">
        <v>24</v>
      </c>
      <c r="B22" s="3">
        <v>24062828</v>
      </c>
      <c r="C22" s="3">
        <v>3690852</v>
      </c>
      <c r="D22" s="3">
        <v>16012850</v>
      </c>
      <c r="E22" s="3">
        <v>199033962</v>
      </c>
    </row>
    <row r="23" spans="1:5" ht="18" customHeight="1" x14ac:dyDescent="0.35">
      <c r="A23" s="2" t="s">
        <v>25</v>
      </c>
      <c r="B23" s="3">
        <v>4053684</v>
      </c>
      <c r="C23" s="3">
        <v>4308149</v>
      </c>
      <c r="D23" s="3">
        <v>8042747</v>
      </c>
      <c r="E23" s="3">
        <v>13965276</v>
      </c>
    </row>
    <row r="24" spans="1:5" ht="18" customHeight="1" x14ac:dyDescent="0.35">
      <c r="A24" s="2" t="s">
        <v>26</v>
      </c>
      <c r="B24" s="3">
        <v>1525396</v>
      </c>
      <c r="C24" s="3">
        <v>0</v>
      </c>
      <c r="D24" s="3">
        <v>0</v>
      </c>
      <c r="E24" s="3">
        <v>0</v>
      </c>
    </row>
    <row r="25" spans="1:5" ht="18" customHeight="1" x14ac:dyDescent="0.35">
      <c r="A25" s="4" t="s">
        <v>27</v>
      </c>
      <c r="B25" s="5">
        <f>SUM(B14:B24)</f>
        <v>76806457</v>
      </c>
      <c r="C25" s="5">
        <f>SUM(C14:C24)</f>
        <v>77990958</v>
      </c>
      <c r="D25" s="5">
        <f>SUM(D14:D24)</f>
        <v>96084407</v>
      </c>
      <c r="E25" s="5">
        <f>SUM(E14:E24)</f>
        <v>327864310</v>
      </c>
    </row>
    <row r="26" spans="1:5" ht="18" customHeight="1" x14ac:dyDescent="0.35">
      <c r="A26" s="4" t="s">
        <v>28</v>
      </c>
      <c r="B26" s="5">
        <f>B12+B25</f>
        <v>160842670</v>
      </c>
      <c r="C26" s="5">
        <f>C12+C25</f>
        <v>170602110</v>
      </c>
      <c r="D26" s="5">
        <f>D12+D25</f>
        <v>199139337</v>
      </c>
      <c r="E26" s="5">
        <f>E12+E25</f>
        <v>613298162</v>
      </c>
    </row>
    <row r="27" spans="1:5" ht="18" customHeight="1" x14ac:dyDescent="0.35">
      <c r="A27" s="57" t="s">
        <v>29</v>
      </c>
      <c r="B27" s="57"/>
      <c r="C27" s="57"/>
      <c r="D27" s="57"/>
      <c r="E27" s="57"/>
    </row>
    <row r="28" spans="1:5" ht="18" customHeight="1" x14ac:dyDescent="0.35">
      <c r="A28" s="58" t="s">
        <v>30</v>
      </c>
      <c r="B28" s="58"/>
      <c r="C28" s="58"/>
      <c r="D28" s="58"/>
      <c r="E28" s="58"/>
    </row>
    <row r="29" spans="1:5" ht="18" customHeight="1" x14ac:dyDescent="0.35">
      <c r="A29" s="2" t="s">
        <v>31</v>
      </c>
      <c r="B29" s="3">
        <v>13352993</v>
      </c>
      <c r="C29" s="3">
        <v>13352993</v>
      </c>
      <c r="D29" s="3">
        <v>13352993</v>
      </c>
      <c r="E29" s="3">
        <v>14231086</v>
      </c>
    </row>
    <row r="30" spans="1:5" ht="18" customHeight="1" x14ac:dyDescent="0.35">
      <c r="A30" s="2" t="s">
        <v>32</v>
      </c>
      <c r="B30" s="3">
        <v>3384904</v>
      </c>
      <c r="C30" s="3">
        <v>3384904</v>
      </c>
      <c r="D30" s="3">
        <v>3384904</v>
      </c>
      <c r="E30" s="3">
        <v>44630739</v>
      </c>
    </row>
    <row r="31" spans="1:5" ht="18" customHeight="1" x14ac:dyDescent="0.35">
      <c r="A31" s="2" t="s">
        <v>33</v>
      </c>
      <c r="B31" s="3"/>
      <c r="C31" s="3"/>
      <c r="D31" s="3"/>
      <c r="E31" s="3">
        <v>8802360</v>
      </c>
    </row>
    <row r="32" spans="1:5" ht="18" customHeight="1" x14ac:dyDescent="0.35">
      <c r="A32" s="2" t="s">
        <v>34</v>
      </c>
      <c r="B32" s="3">
        <v>-74030</v>
      </c>
      <c r="C32" s="3">
        <v>-69543</v>
      </c>
      <c r="D32" s="3">
        <v>-38205</v>
      </c>
      <c r="E32" s="3">
        <v>0</v>
      </c>
    </row>
    <row r="33" spans="1:5" ht="18" customHeight="1" x14ac:dyDescent="0.35">
      <c r="A33" s="2" t="s">
        <v>35</v>
      </c>
      <c r="B33" s="3"/>
      <c r="C33" s="3"/>
      <c r="D33" s="3"/>
      <c r="E33" s="3"/>
    </row>
    <row r="34" spans="1:5" ht="18" customHeight="1" x14ac:dyDescent="0.35">
      <c r="A34" s="2" t="s">
        <v>36</v>
      </c>
      <c r="B34" s="3"/>
      <c r="C34" s="3"/>
      <c r="D34" s="3"/>
      <c r="E34" s="3">
        <v>7559791</v>
      </c>
    </row>
    <row r="35" spans="1:5" ht="18" customHeight="1" x14ac:dyDescent="0.35">
      <c r="A35" s="2" t="s">
        <v>37</v>
      </c>
      <c r="B35" s="3"/>
      <c r="C35" s="3"/>
      <c r="D35" s="3"/>
      <c r="E35" s="3">
        <v>366742</v>
      </c>
    </row>
    <row r="36" spans="1:5" ht="18" customHeight="1" x14ac:dyDescent="0.35">
      <c r="A36" s="2" t="s">
        <v>38</v>
      </c>
      <c r="B36" s="3">
        <v>31238888</v>
      </c>
      <c r="C36" s="3">
        <v>30790190</v>
      </c>
      <c r="D36" s="3">
        <v>28047546</v>
      </c>
      <c r="E36" s="3">
        <v>184276548</v>
      </c>
    </row>
    <row r="37" spans="1:5" ht="18" customHeight="1" x14ac:dyDescent="0.35">
      <c r="A37" s="2" t="s">
        <v>39</v>
      </c>
      <c r="B37" s="3">
        <v>0</v>
      </c>
      <c r="C37" s="3">
        <v>0</v>
      </c>
      <c r="D37" s="3">
        <v>0</v>
      </c>
      <c r="E37" s="3">
        <v>4937686</v>
      </c>
    </row>
    <row r="38" spans="1:5" ht="18" customHeight="1" x14ac:dyDescent="0.35">
      <c r="A38" s="4" t="s">
        <v>40</v>
      </c>
      <c r="B38" s="5">
        <f>SUM(B29:B37)</f>
        <v>47902755</v>
      </c>
      <c r="C38" s="5">
        <f>SUM(C29:C37)</f>
        <v>47458544</v>
      </c>
      <c r="D38" s="5">
        <f>SUM(D29:D37)</f>
        <v>44747238</v>
      </c>
      <c r="E38" s="5">
        <f>SUM(E29:E37)</f>
        <v>264804952</v>
      </c>
    </row>
    <row r="39" spans="1:5" ht="18" customHeight="1" x14ac:dyDescent="0.35">
      <c r="A39" s="57" t="s">
        <v>41</v>
      </c>
      <c r="B39" s="57"/>
      <c r="C39" s="57"/>
      <c r="D39" s="57"/>
      <c r="E39" s="57"/>
    </row>
    <row r="40" spans="1:5" ht="18" customHeight="1" x14ac:dyDescent="0.35">
      <c r="A40" s="2" t="s">
        <v>42</v>
      </c>
      <c r="B40" s="3">
        <v>3267427</v>
      </c>
      <c r="C40" s="3">
        <v>18701703</v>
      </c>
      <c r="D40" s="3">
        <v>29445959</v>
      </c>
      <c r="E40" s="3">
        <v>50817992</v>
      </c>
    </row>
    <row r="41" spans="1:5" ht="18" customHeight="1" x14ac:dyDescent="0.35">
      <c r="A41" s="2" t="s">
        <v>43</v>
      </c>
      <c r="B41" s="3">
        <v>721334</v>
      </c>
      <c r="C41" s="3">
        <v>514355</v>
      </c>
      <c r="D41" s="3">
        <v>342634</v>
      </c>
      <c r="E41" s="3">
        <v>48222</v>
      </c>
    </row>
    <row r="42" spans="1:5" ht="18" customHeight="1" x14ac:dyDescent="0.35">
      <c r="A42" s="2" t="s">
        <v>44</v>
      </c>
      <c r="B42" s="3">
        <v>0</v>
      </c>
      <c r="C42" s="3">
        <v>0</v>
      </c>
      <c r="D42" s="3">
        <v>0</v>
      </c>
      <c r="E42" s="3">
        <v>396531</v>
      </c>
    </row>
    <row r="43" spans="1:5" ht="18" customHeight="1" x14ac:dyDescent="0.35">
      <c r="A43" s="2" t="s">
        <v>45</v>
      </c>
      <c r="B43" s="3">
        <v>10401710</v>
      </c>
      <c r="C43" s="3">
        <v>672844</v>
      </c>
      <c r="D43" s="3">
        <v>0</v>
      </c>
      <c r="E43" s="3">
        <v>35930184</v>
      </c>
    </row>
    <row r="44" spans="1:5" ht="18" customHeight="1" x14ac:dyDescent="0.35">
      <c r="A44" s="2" t="s">
        <v>46</v>
      </c>
      <c r="B44" s="3">
        <v>236702</v>
      </c>
      <c r="C44" s="3">
        <v>247520</v>
      </c>
      <c r="D44" s="3">
        <v>34464</v>
      </c>
      <c r="E44" s="3">
        <v>3398553</v>
      </c>
    </row>
    <row r="45" spans="1:5" ht="18" customHeight="1" x14ac:dyDescent="0.35">
      <c r="A45" s="4" t="s">
        <v>47</v>
      </c>
      <c r="B45" s="5">
        <f>SUM(B40:B44)</f>
        <v>14627173</v>
      </c>
      <c r="C45" s="5">
        <f>SUM(C40:C44)</f>
        <v>20136422</v>
      </c>
      <c r="D45" s="5">
        <f>SUM(D40:D44)</f>
        <v>29823057</v>
      </c>
      <c r="E45" s="5">
        <f>SUM(E40:E44)</f>
        <v>90591482</v>
      </c>
    </row>
    <row r="46" spans="1:5" ht="18" customHeight="1" x14ac:dyDescent="0.35">
      <c r="A46" s="57" t="s">
        <v>48</v>
      </c>
      <c r="B46" s="57"/>
      <c r="C46" s="57"/>
      <c r="D46" s="57"/>
      <c r="E46" s="57"/>
    </row>
    <row r="47" spans="1:5" ht="18" customHeight="1" x14ac:dyDescent="0.35">
      <c r="A47" s="2" t="s">
        <v>49</v>
      </c>
      <c r="B47" s="3">
        <v>74095829</v>
      </c>
      <c r="C47" s="3">
        <v>66606267</v>
      </c>
      <c r="D47" s="3">
        <v>65699202</v>
      </c>
      <c r="E47" s="3">
        <v>206886556</v>
      </c>
    </row>
    <row r="48" spans="1:5" ht="18" customHeight="1" x14ac:dyDescent="0.35">
      <c r="A48" s="2" t="s">
        <v>50</v>
      </c>
      <c r="B48" s="3">
        <v>0</v>
      </c>
      <c r="C48" s="3">
        <v>0</v>
      </c>
      <c r="D48" s="3">
        <v>0</v>
      </c>
      <c r="E48" s="3">
        <v>105626</v>
      </c>
    </row>
    <row r="49" spans="1:5" ht="18" customHeight="1" x14ac:dyDescent="0.35">
      <c r="A49" s="2" t="s">
        <v>51</v>
      </c>
      <c r="B49" s="3">
        <v>0</v>
      </c>
      <c r="C49" s="3">
        <v>0</v>
      </c>
      <c r="D49" s="3">
        <v>0</v>
      </c>
      <c r="E49" s="3">
        <v>25058</v>
      </c>
    </row>
    <row r="50" spans="1:5" ht="18" customHeight="1" x14ac:dyDescent="0.35">
      <c r="A50" s="2" t="s">
        <v>52</v>
      </c>
      <c r="B50" s="3">
        <v>3013315</v>
      </c>
      <c r="C50" s="3">
        <v>3099301</v>
      </c>
      <c r="D50" s="3">
        <v>14735744</v>
      </c>
      <c r="E50" s="3">
        <v>11636683</v>
      </c>
    </row>
    <row r="51" spans="1:5" ht="18" customHeight="1" x14ac:dyDescent="0.35">
      <c r="A51" s="2" t="s">
        <v>53</v>
      </c>
      <c r="B51" s="3">
        <v>530110</v>
      </c>
      <c r="C51" s="3">
        <v>12451850</v>
      </c>
      <c r="D51" s="3">
        <v>23022723</v>
      </c>
      <c r="E51" s="3">
        <v>22009674</v>
      </c>
    </row>
    <row r="52" spans="1:5" ht="18" customHeight="1" x14ac:dyDescent="0.35">
      <c r="A52" s="2" t="s">
        <v>54</v>
      </c>
      <c r="B52" s="3">
        <v>19558031</v>
      </c>
      <c r="C52" s="3">
        <v>19558031</v>
      </c>
      <c r="D52" s="3">
        <v>19558031</v>
      </c>
      <c r="E52" s="3">
        <v>0</v>
      </c>
    </row>
    <row r="53" spans="1:5" ht="18" customHeight="1" x14ac:dyDescent="0.35">
      <c r="A53" s="2" t="s">
        <v>23</v>
      </c>
      <c r="B53" s="3">
        <v>994344</v>
      </c>
      <c r="C53" s="3">
        <v>0</v>
      </c>
      <c r="D53" s="3">
        <v>0</v>
      </c>
      <c r="E53" s="3"/>
    </row>
    <row r="54" spans="1:5" ht="18" customHeight="1" x14ac:dyDescent="0.35">
      <c r="A54" s="2" t="s">
        <v>55</v>
      </c>
      <c r="B54" s="3">
        <v>72814</v>
      </c>
      <c r="C54" s="3">
        <v>1209388</v>
      </c>
      <c r="D54" s="3">
        <v>1434310</v>
      </c>
      <c r="E54" s="3">
        <v>987536</v>
      </c>
    </row>
    <row r="55" spans="1:5" ht="18" customHeight="1" x14ac:dyDescent="0.35">
      <c r="A55" s="2" t="s">
        <v>56</v>
      </c>
      <c r="B55" s="3">
        <v>48299</v>
      </c>
      <c r="C55" s="3">
        <v>82307</v>
      </c>
      <c r="D55" s="3">
        <v>145770</v>
      </c>
      <c r="E55" s="3">
        <v>16250595</v>
      </c>
    </row>
    <row r="56" spans="1:5" ht="18" customHeight="1" x14ac:dyDescent="0.35">
      <c r="A56" s="4" t="s">
        <v>57</v>
      </c>
      <c r="B56" s="5">
        <f>SUM(B47:B55)</f>
        <v>98312742</v>
      </c>
      <c r="C56" s="5">
        <f>SUM(C47:C55)</f>
        <v>103007144</v>
      </c>
      <c r="D56" s="5">
        <f>SUM(D47:D55)</f>
        <v>124595780</v>
      </c>
      <c r="E56" s="5">
        <f>SUM(E47:E55)</f>
        <v>257901728</v>
      </c>
    </row>
    <row r="57" spans="1:5" ht="18" customHeight="1" x14ac:dyDescent="0.35">
      <c r="A57" s="4" t="s">
        <v>58</v>
      </c>
      <c r="B57" s="5">
        <f>B45+B56</f>
        <v>112939915</v>
      </c>
      <c r="C57" s="5">
        <f>C45+C56</f>
        <v>123143566</v>
      </c>
      <c r="D57" s="5">
        <f>D45+D56</f>
        <v>154418837</v>
      </c>
      <c r="E57" s="5">
        <f>E45+E56</f>
        <v>348493210</v>
      </c>
    </row>
    <row r="58" spans="1:5" ht="18" customHeight="1" x14ac:dyDescent="0.35">
      <c r="A58" s="4" t="s">
        <v>59</v>
      </c>
      <c r="B58" s="5">
        <f>B38+B57</f>
        <v>160842670</v>
      </c>
      <c r="C58" s="5">
        <f>C38+C57</f>
        <v>170602110</v>
      </c>
      <c r="D58" s="5">
        <f>D38+D57</f>
        <v>199166075</v>
      </c>
      <c r="E58" s="5">
        <f>E38+E57</f>
        <v>613298162</v>
      </c>
    </row>
    <row r="59" spans="1:5" ht="7.5" customHeight="1" x14ac:dyDescent="0.35"/>
    <row r="60" spans="1:5" ht="21.75" customHeight="1" x14ac:dyDescent="0.35">
      <c r="A60" s="56" t="s">
        <v>60</v>
      </c>
      <c r="B60" s="56"/>
      <c r="C60" s="56"/>
      <c r="D60" s="56"/>
      <c r="E60" s="56"/>
    </row>
    <row r="61" spans="1:5" ht="21.75" customHeight="1" x14ac:dyDescent="0.35">
      <c r="A61" s="56" t="s">
        <v>61</v>
      </c>
      <c r="B61" s="56"/>
      <c r="C61" s="56"/>
      <c r="D61" s="56"/>
      <c r="E61" s="56"/>
    </row>
    <row r="62" spans="1:5" ht="19.5" customHeight="1" x14ac:dyDescent="0.35">
      <c r="A62" s="1" t="s">
        <v>2</v>
      </c>
      <c r="B62" s="1" t="s">
        <v>3</v>
      </c>
      <c r="C62" s="1" t="s">
        <v>4</v>
      </c>
      <c r="D62" s="1" t="s">
        <v>5</v>
      </c>
      <c r="E62" s="1" t="s">
        <v>6</v>
      </c>
    </row>
    <row r="63" spans="1:5" ht="18" customHeight="1" x14ac:dyDescent="0.35">
      <c r="A63" s="2" t="s">
        <v>62</v>
      </c>
      <c r="B63" s="3">
        <v>223704592</v>
      </c>
      <c r="C63" s="3">
        <v>256675163</v>
      </c>
      <c r="D63" s="3">
        <v>237130786</v>
      </c>
      <c r="E63" s="3">
        <v>483807560</v>
      </c>
    </row>
    <row r="64" spans="1:5" ht="18" customHeight="1" x14ac:dyDescent="0.35">
      <c r="A64" s="2" t="s">
        <v>63</v>
      </c>
      <c r="B64" s="3">
        <v>151407364</v>
      </c>
      <c r="C64" s="3">
        <v>184390517</v>
      </c>
      <c r="D64" s="3">
        <v>164577790</v>
      </c>
      <c r="E64" s="3">
        <v>334927990</v>
      </c>
    </row>
    <row r="65" spans="1:5" ht="18" customHeight="1" x14ac:dyDescent="0.35">
      <c r="A65" s="4" t="s">
        <v>64</v>
      </c>
      <c r="B65" s="5">
        <f>B63-B64</f>
        <v>72297228</v>
      </c>
      <c r="C65" s="5">
        <f>C63-C64</f>
        <v>72284646</v>
      </c>
      <c r="D65" s="5">
        <f>D63-D64</f>
        <v>72552996</v>
      </c>
      <c r="E65" s="5">
        <f>E63-E64</f>
        <v>148879570</v>
      </c>
    </row>
    <row r="66" spans="1:5" ht="18" customHeight="1" x14ac:dyDescent="0.35">
      <c r="A66" s="2" t="s">
        <v>65</v>
      </c>
      <c r="B66" s="3">
        <v>13053158</v>
      </c>
      <c r="C66" s="3">
        <v>17854636</v>
      </c>
      <c r="D66" s="3">
        <v>20213109</v>
      </c>
      <c r="E66" s="3">
        <v>38085058</v>
      </c>
    </row>
    <row r="67" spans="1:5" ht="18" customHeight="1" x14ac:dyDescent="0.35">
      <c r="A67" s="2" t="s">
        <v>66</v>
      </c>
      <c r="B67" s="3">
        <v>4578372</v>
      </c>
      <c r="C67" s="3">
        <v>4760403</v>
      </c>
      <c r="D67" s="3">
        <v>4723142</v>
      </c>
      <c r="E67" s="3">
        <v>0</v>
      </c>
    </row>
    <row r="68" spans="1:5" ht="18" customHeight="1" x14ac:dyDescent="0.35">
      <c r="A68" s="4" t="s">
        <v>67</v>
      </c>
      <c r="B68" s="5">
        <f>B65-B66-B67</f>
        <v>54665698</v>
      </c>
      <c r="C68" s="5">
        <f>C65-C66-C67</f>
        <v>49669607</v>
      </c>
      <c r="D68" s="5">
        <f>D65-D66-D67</f>
        <v>47616745</v>
      </c>
      <c r="E68" s="5">
        <f>E65-E66</f>
        <v>110794512</v>
      </c>
    </row>
    <row r="69" spans="1:5" ht="18" customHeight="1" x14ac:dyDescent="0.35">
      <c r="A69" s="2" t="s">
        <v>68</v>
      </c>
      <c r="B69" s="3">
        <v>3714027</v>
      </c>
      <c r="C69" s="3">
        <v>2925210</v>
      </c>
      <c r="D69" s="3">
        <v>2550195</v>
      </c>
      <c r="E69" s="3">
        <v>18675087</v>
      </c>
    </row>
    <row r="70" spans="1:5" ht="18" customHeight="1" x14ac:dyDescent="0.35">
      <c r="A70" s="2" t="s">
        <v>69</v>
      </c>
      <c r="B70" s="3">
        <v>4369431</v>
      </c>
      <c r="C70" s="3">
        <v>4513406</v>
      </c>
      <c r="D70" s="3">
        <v>4589867</v>
      </c>
      <c r="E70" s="3">
        <v>11241113</v>
      </c>
    </row>
    <row r="71" spans="1:5" ht="18" customHeight="1" x14ac:dyDescent="0.35">
      <c r="A71" s="2" t="s">
        <v>70</v>
      </c>
      <c r="B71" s="3">
        <v>1338964</v>
      </c>
      <c r="C71" s="3">
        <v>4128579</v>
      </c>
      <c r="D71" s="3">
        <v>6170739</v>
      </c>
      <c r="E71" s="3">
        <v>7115236</v>
      </c>
    </row>
    <row r="72" spans="1:5" ht="18" customHeight="1" x14ac:dyDescent="0.35">
      <c r="A72" s="2" t="s">
        <v>71</v>
      </c>
      <c r="B72" s="3">
        <v>2978062</v>
      </c>
      <c r="C72" s="3">
        <v>0</v>
      </c>
      <c r="D72" s="3">
        <v>0</v>
      </c>
      <c r="E72" s="3"/>
    </row>
    <row r="73" spans="1:5" ht="18" customHeight="1" x14ac:dyDescent="0.35">
      <c r="A73" s="2" t="s">
        <v>72</v>
      </c>
      <c r="B73" s="3">
        <v>0</v>
      </c>
      <c r="C73" s="3">
        <v>1203088</v>
      </c>
      <c r="D73" s="3">
        <v>624715</v>
      </c>
      <c r="E73" s="3">
        <v>25188663</v>
      </c>
    </row>
    <row r="74" spans="1:5" ht="18" customHeight="1" x14ac:dyDescent="0.35">
      <c r="A74" s="4" t="s">
        <v>73</v>
      </c>
      <c r="B74" s="5">
        <f>B68+B69-B70-B71+B73-B72</f>
        <v>49693268</v>
      </c>
      <c r="C74" s="5">
        <f>C68+C69-C70-C71+C73</f>
        <v>45155920</v>
      </c>
      <c r="D74" s="5">
        <f>D68+D69-D70-D71+D73</f>
        <v>40031049</v>
      </c>
      <c r="E74" s="5">
        <f>E68+E69-E70-E71+E73</f>
        <v>136301913</v>
      </c>
    </row>
    <row r="75" spans="1:5" ht="18" customHeight="1" x14ac:dyDescent="0.35">
      <c r="A75" s="2" t="s">
        <v>74</v>
      </c>
      <c r="B75" s="3">
        <v>23502166</v>
      </c>
      <c r="C75" s="3">
        <v>16895682</v>
      </c>
      <c r="D75" s="3">
        <v>17403005</v>
      </c>
      <c r="E75" s="3">
        <v>51235462</v>
      </c>
    </row>
    <row r="76" spans="1:5" ht="18" customHeight="1" x14ac:dyDescent="0.35">
      <c r="A76" s="4" t="s">
        <v>75</v>
      </c>
      <c r="B76" s="5">
        <f>B74-B75</f>
        <v>26191102</v>
      </c>
      <c r="C76" s="5">
        <f>C74-C75</f>
        <v>28260238</v>
      </c>
      <c r="D76" s="5">
        <f>D74-D75</f>
        <v>22628044</v>
      </c>
      <c r="E76" s="5">
        <f>E74-E75</f>
        <v>85066451</v>
      </c>
    </row>
  </sheetData>
  <mergeCells count="12">
    <mergeCell ref="A1:E1"/>
    <mergeCell ref="A2:E2"/>
    <mergeCell ref="A3:E3"/>
    <mergeCell ref="A5:E5"/>
    <mergeCell ref="A6:E6"/>
    <mergeCell ref="A60:E60"/>
    <mergeCell ref="A61:E61"/>
    <mergeCell ref="A13:E13"/>
    <mergeCell ref="A27:E27"/>
    <mergeCell ref="A28:E28"/>
    <mergeCell ref="A39:E39"/>
    <mergeCell ref="A46:E4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9"/>
  <sheetViews>
    <sheetView showGridLines="0" zoomScale="84" zoomScaleNormal="84" workbookViewId="0">
      <selection activeCell="H1" sqref="H1"/>
    </sheetView>
  </sheetViews>
  <sheetFormatPr defaultColWidth="8.6328125" defaultRowHeight="14.5" x14ac:dyDescent="0.35"/>
  <cols>
    <col min="1" max="1" width="34" customWidth="1"/>
    <col min="2" max="2" width="36" hidden="1" customWidth="1"/>
    <col min="3" max="5" width="14" customWidth="1"/>
    <col min="6" max="6" width="16" customWidth="1"/>
    <col min="7" max="7" width="4" customWidth="1"/>
  </cols>
  <sheetData>
    <row r="1" spans="1:6" ht="30" customHeight="1" x14ac:dyDescent="0.35">
      <c r="A1" s="62" t="s">
        <v>76</v>
      </c>
      <c r="B1" s="62"/>
      <c r="C1" s="62"/>
      <c r="D1" s="62"/>
      <c r="E1" s="62"/>
      <c r="F1" s="62"/>
    </row>
    <row r="2" spans="1:6" x14ac:dyDescent="0.35">
      <c r="A2" s="61" t="s">
        <v>77</v>
      </c>
      <c r="B2" s="61"/>
      <c r="C2" s="61"/>
      <c r="D2" s="61"/>
      <c r="E2" s="61"/>
      <c r="F2" s="61"/>
    </row>
    <row r="3" spans="1:6" ht="24" customHeight="1" x14ac:dyDescent="0.35">
      <c r="A3" s="6" t="s">
        <v>78</v>
      </c>
      <c r="B3" s="6" t="s">
        <v>79</v>
      </c>
      <c r="C3" s="6" t="s">
        <v>80</v>
      </c>
      <c r="D3" s="6" t="s">
        <v>81</v>
      </c>
      <c r="E3" s="6" t="s">
        <v>82</v>
      </c>
      <c r="F3" s="6" t="s">
        <v>83</v>
      </c>
    </row>
    <row r="4" spans="1:6" ht="19.5" customHeight="1" x14ac:dyDescent="0.35">
      <c r="A4" s="57" t="s">
        <v>84</v>
      </c>
      <c r="B4" s="57"/>
      <c r="C4" s="57"/>
      <c r="D4" s="57"/>
      <c r="E4" s="57"/>
      <c r="F4" s="57"/>
    </row>
    <row r="5" spans="1:6" ht="18" customHeight="1" x14ac:dyDescent="0.35">
      <c r="A5" s="7" t="s">
        <v>85</v>
      </c>
      <c r="B5" s="8" t="s">
        <v>86</v>
      </c>
      <c r="C5" s="9">
        <f>IFERROR('Financial Statements'!B25/'Financial Statements'!B56,"N/A")</f>
        <v>0.78124620916381315</v>
      </c>
      <c r="D5" s="9">
        <f>IFERROR('Financial Statements'!C25/'Financial Statements'!C56,"N/A")</f>
        <v>0.75714125226110529</v>
      </c>
      <c r="E5" s="9">
        <f>IFERROR('Financial Statements'!D25/'Financial Statements'!D56,"N/A")</f>
        <v>0.77116903156752181</v>
      </c>
      <c r="F5" s="10">
        <f>IFERROR('Financial Statements'!E25/'Financial Statements'!E56,"N/A")</f>
        <v>1.2712761273162156</v>
      </c>
    </row>
    <row r="6" spans="1:6" ht="18" customHeight="1" x14ac:dyDescent="0.35">
      <c r="A6" s="7" t="s">
        <v>87</v>
      </c>
      <c r="B6" s="8" t="s">
        <v>88</v>
      </c>
      <c r="C6" s="9">
        <f>IFERROR(('Financial Statements'!B25-'Financial Statements'!B15)/'Financial Statements'!B56,"N/A")</f>
        <v>0.62505328149630901</v>
      </c>
      <c r="D6" s="9">
        <f>IFERROR(('Financial Statements'!C25-'Financial Statements'!C15)/'Financial Statements'!C56,"N/A")</f>
        <v>0.49765382292319454</v>
      </c>
      <c r="E6" s="9">
        <f>IFERROR(('Financial Statements'!D25-'Financial Statements'!D15)/'Financial Statements'!D56,"N/A")</f>
        <v>0.56497013783291861</v>
      </c>
      <c r="F6" s="10">
        <f>IFERROR(('Financial Statements'!E25-'Financial Statements'!E15)/'Financial Statements'!E56,"N/A")</f>
        <v>1.095432249294584</v>
      </c>
    </row>
    <row r="8" spans="1:6" ht="19.5" customHeight="1" x14ac:dyDescent="0.35">
      <c r="A8" s="57" t="s">
        <v>89</v>
      </c>
      <c r="B8" s="57"/>
      <c r="C8" s="57"/>
      <c r="D8" s="57"/>
      <c r="E8" s="57"/>
      <c r="F8" s="57"/>
    </row>
    <row r="9" spans="1:6" ht="18" customHeight="1" x14ac:dyDescent="0.35">
      <c r="A9" s="6" t="s">
        <v>78</v>
      </c>
      <c r="B9" s="6" t="s">
        <v>79</v>
      </c>
      <c r="C9" s="6" t="s">
        <v>80</v>
      </c>
      <c r="D9" s="6" t="s">
        <v>81</v>
      </c>
      <c r="E9" s="6" t="s">
        <v>82</v>
      </c>
      <c r="F9" s="6" t="s">
        <v>83</v>
      </c>
    </row>
    <row r="10" spans="1:6" ht="18" customHeight="1" x14ac:dyDescent="0.35">
      <c r="A10" s="7" t="s">
        <v>90</v>
      </c>
      <c r="B10" s="8" t="s">
        <v>91</v>
      </c>
      <c r="C10" s="9">
        <f>IFERROR('Financial Statements'!B57/'Financial Statements'!B38,"N/A")</f>
        <v>2.3576914313174679</v>
      </c>
      <c r="D10" s="9">
        <f>IFERROR('Financial Statements'!C57/'Financial Statements'!C38,"N/A")</f>
        <v>2.5947607242228079</v>
      </c>
      <c r="E10" s="9">
        <f>IFERROR('Financial Statements'!D57/'Financial Statements'!D38,"N/A")</f>
        <v>3.4509132608363449</v>
      </c>
      <c r="F10" s="10">
        <f>IFERROR('Financial Statements'!E57/'Financial Statements'!E38,"N/A")</f>
        <v>1.3160373602076747</v>
      </c>
    </row>
    <row r="11" spans="1:6" ht="18" customHeight="1" x14ac:dyDescent="0.35">
      <c r="A11" s="7" t="s">
        <v>92</v>
      </c>
      <c r="B11" s="8" t="s">
        <v>93</v>
      </c>
      <c r="C11" s="9">
        <f>IFERROR('Financial Statements'!B57/'Financial Statements'!B26,"N/A")</f>
        <v>0.70217632547383102</v>
      </c>
      <c r="D11" s="9">
        <f>IFERROR('Financial Statements'!C57/'Financial Statements'!C26,"N/A")</f>
        <v>0.72181736790945905</v>
      </c>
      <c r="E11" s="9">
        <f>IFERROR('Financial Statements'!D57/'Financial Statements'!D26,"N/A")</f>
        <v>0.77543110932422155</v>
      </c>
      <c r="F11" s="10">
        <f>IFERROR('Financial Statements'!E57/'Financial Statements'!E26,"N/A")</f>
        <v>0.56822803587661819</v>
      </c>
    </row>
    <row r="12" spans="1:6" ht="24" customHeight="1" x14ac:dyDescent="0.35">
      <c r="A12" s="7" t="s">
        <v>94</v>
      </c>
      <c r="B12" s="8" t="s">
        <v>95</v>
      </c>
      <c r="C12" s="9">
        <f>IFERROR('Financial Statements'!B40/('Financial Statements'!B40+'Financial Statements'!B38),"N/A")</f>
        <v>6.3854121136407135E-2</v>
      </c>
      <c r="D12" s="9">
        <f>IFERROR('Financial Statements'!C40/('Financial Statements'!C40+'Financial Statements'!C38),"N/A")</f>
        <v>0.28267281106130088</v>
      </c>
      <c r="E12" s="9">
        <f>IFERROR('Financial Statements'!D40/('Financial Statements'!D40+'Financial Statements'!D38),"N/A")</f>
        <v>0.39688219662511642</v>
      </c>
      <c r="F12" s="10">
        <f>IFERROR('Financial Statements'!E40/('Financial Statements'!E40+'Financial Statements'!E38),"N/A")</f>
        <v>0.16100854822518859</v>
      </c>
    </row>
    <row r="13" spans="1:6" ht="19.5" customHeight="1" x14ac:dyDescent="0.35"/>
    <row r="14" spans="1:6" ht="18" customHeight="1" x14ac:dyDescent="0.35">
      <c r="A14" s="57" t="s">
        <v>96</v>
      </c>
      <c r="B14" s="57"/>
      <c r="C14" s="57"/>
      <c r="D14" s="57"/>
      <c r="E14" s="57"/>
      <c r="F14" s="57"/>
    </row>
    <row r="15" spans="1:6" x14ac:dyDescent="0.35">
      <c r="A15" s="6" t="s">
        <v>78</v>
      </c>
      <c r="B15" s="6" t="s">
        <v>79</v>
      </c>
      <c r="C15" s="6" t="s">
        <v>80</v>
      </c>
      <c r="D15" s="6" t="s">
        <v>81</v>
      </c>
      <c r="E15" s="6" t="s">
        <v>82</v>
      </c>
      <c r="F15" s="6" t="s">
        <v>83</v>
      </c>
    </row>
    <row r="16" spans="1:6" ht="19.5" customHeight="1" x14ac:dyDescent="0.35">
      <c r="A16" s="7" t="s">
        <v>97</v>
      </c>
      <c r="B16" s="8" t="s">
        <v>98</v>
      </c>
      <c r="C16" s="9">
        <f>IFERROR('Financial Statements'!B68/'Financial Statements'!B71,"N/A")</f>
        <v>40.826861663196325</v>
      </c>
      <c r="D16" s="9">
        <f>IFERROR('Financial Statements'!C68/'Financial Statements'!C71,"N/A")</f>
        <v>12.03067859425725</v>
      </c>
      <c r="E16" s="9">
        <f>IFERROR('Financial Statements'!D68/'Financial Statements'!D71,"N/A")</f>
        <v>7.7165384891501647</v>
      </c>
      <c r="F16" s="10">
        <f>IFERROR('Financial Statements'!E68/'Financial Statements'!E71,"N/A")</f>
        <v>15.57144583819848</v>
      </c>
    </row>
    <row r="17" spans="1:6" ht="18" customHeight="1" x14ac:dyDescent="0.35"/>
    <row r="18" spans="1:6" ht="18" customHeight="1" x14ac:dyDescent="0.35">
      <c r="A18" s="63" t="s">
        <v>289</v>
      </c>
      <c r="B18" s="63"/>
      <c r="C18" s="63"/>
      <c r="D18" s="63"/>
      <c r="E18" s="63"/>
      <c r="F18" s="63"/>
    </row>
    <row r="19" spans="1:6" ht="18" customHeight="1" x14ac:dyDescent="0.35">
      <c r="A19" s="52"/>
      <c r="B19" s="52"/>
      <c r="C19" s="63" t="s">
        <v>288</v>
      </c>
      <c r="D19" s="64"/>
      <c r="E19" s="65"/>
      <c r="F19" s="52" t="s">
        <v>166</v>
      </c>
    </row>
    <row r="20" spans="1:6" ht="18" customHeight="1" x14ac:dyDescent="0.35">
      <c r="A20" s="6" t="s">
        <v>78</v>
      </c>
      <c r="B20" s="6" t="s">
        <v>79</v>
      </c>
      <c r="C20" s="6" t="s">
        <v>80</v>
      </c>
      <c r="D20" s="6" t="s">
        <v>81</v>
      </c>
      <c r="E20" s="6" t="s">
        <v>82</v>
      </c>
      <c r="F20" s="6" t="s">
        <v>83</v>
      </c>
    </row>
    <row r="21" spans="1:6" ht="18" customHeight="1" x14ac:dyDescent="0.35">
      <c r="A21" s="7" t="s">
        <v>102</v>
      </c>
      <c r="B21" s="8" t="s">
        <v>103</v>
      </c>
      <c r="C21" s="13">
        <f>IFERROR('Financial Statements'!B16/'Financial Statements'!B63*365,"N/A")</f>
        <v>4.7520735515344272</v>
      </c>
      <c r="D21" s="13">
        <f>IFERROR('Financial Statements'!C16/'Financial Statements'!C63*365,"N/A")</f>
        <v>11.736349087270279</v>
      </c>
      <c r="E21" s="13">
        <f>IFERROR('Financial Statements'!D16/'Financial Statements'!D63*365,"N/A")</f>
        <v>25.929792346743199</v>
      </c>
      <c r="F21" s="14">
        <f>IFERROR('Financial Statements'!E16/'Financial Statements'!E63*365,"N/A")</f>
        <v>25.576426854512153</v>
      </c>
    </row>
    <row r="22" spans="1:6" x14ac:dyDescent="0.35">
      <c r="A22" s="7" t="s">
        <v>106</v>
      </c>
      <c r="B22" s="8" t="s">
        <v>107</v>
      </c>
      <c r="C22" s="13">
        <f>IFERROR('Financial Statements'!B47/'Financial Statements'!B64*365,"N/A")</f>
        <v>178.6239246923287</v>
      </c>
      <c r="D22" s="13">
        <f>IFERROR('Financial Statements'!C47/'Financial Statements'!C64*365,"N/A")</f>
        <v>131.84673404326969</v>
      </c>
      <c r="E22" s="13">
        <f>IFERROR('Financial Statements'!D47/'Financial Statements'!D64*365,"N/A")</f>
        <v>145.70744162988214</v>
      </c>
      <c r="F22" s="14">
        <f>IFERROR('Financial Statements'!E47/'Financial Statements'!E64*365,"N/A")</f>
        <v>225.46217454086178</v>
      </c>
    </row>
    <row r="23" spans="1:6" ht="19.5" customHeight="1" x14ac:dyDescent="0.35">
      <c r="A23" s="7" t="s">
        <v>110</v>
      </c>
      <c r="B23" s="8" t="s">
        <v>111</v>
      </c>
      <c r="C23" s="13">
        <f>IFERROR('Financial Statements'!B15/'Financial Statements'!B64*365,"N/A")</f>
        <v>37.018348559321062</v>
      </c>
      <c r="D23" s="13">
        <f>IFERROR('Financial Statements'!C15/'Financial Statements'!C64*365,"N/A")</f>
        <v>52.910023214480169</v>
      </c>
      <c r="E23" s="13">
        <f>IFERROR('Financial Statements'!D15/'Financial Statements'!D64*365,"N/A")</f>
        <v>56.978538112584936</v>
      </c>
      <c r="F23" s="14">
        <f>IFERROR('Financial Statements'!E15/'Financial Statements'!E64*365,"N/A")</f>
        <v>49.422297013755106</v>
      </c>
    </row>
    <row r="24" spans="1:6" ht="18" customHeight="1" x14ac:dyDescent="0.35">
      <c r="A24" s="7" t="s">
        <v>112</v>
      </c>
      <c r="B24" s="8" t="s">
        <v>113</v>
      </c>
      <c r="C24" s="13">
        <f>IFERROR(C21+C23,"N/A")</f>
        <v>41.770422110855492</v>
      </c>
      <c r="D24" s="13">
        <f>IFERROR(D21+D23,"N/A")</f>
        <v>64.646372301750446</v>
      </c>
      <c r="E24" s="13">
        <f>IFERROR(E21+E23,"N/A")</f>
        <v>82.908330459328141</v>
      </c>
      <c r="F24" s="14">
        <f>IFERROR(F21+F23,"N/A")</f>
        <v>74.998723868267263</v>
      </c>
    </row>
    <row r="25" spans="1:6" ht="18" customHeight="1" x14ac:dyDescent="0.35">
      <c r="A25" s="7" t="s">
        <v>114</v>
      </c>
      <c r="B25" s="8" t="s">
        <v>115</v>
      </c>
      <c r="C25" s="13">
        <f>IFERROR(C24-C22,"N/A")</f>
        <v>-136.85350258147321</v>
      </c>
      <c r="D25" s="13">
        <f>IFERROR(D24-D22,"N/A")</f>
        <v>-67.200361741519245</v>
      </c>
      <c r="E25" s="13">
        <f>IFERROR(E24-E22,"N/A")</f>
        <v>-62.799111170553999</v>
      </c>
      <c r="F25" s="14">
        <f>IFERROR(F24-F22,"N/A")</f>
        <v>-150.46345067259452</v>
      </c>
    </row>
    <row r="26" spans="1:6" ht="18" customHeight="1" x14ac:dyDescent="0.35">
      <c r="A26" s="63" t="s">
        <v>99</v>
      </c>
      <c r="B26" s="63"/>
      <c r="C26" s="63"/>
      <c r="D26" s="63"/>
      <c r="E26" s="63"/>
      <c r="F26" s="63"/>
    </row>
    <row r="27" spans="1:6" ht="18" customHeight="1" x14ac:dyDescent="0.35">
      <c r="A27" s="52"/>
      <c r="B27" s="52"/>
      <c r="C27" s="63" t="s">
        <v>288</v>
      </c>
      <c r="D27" s="64"/>
      <c r="E27" s="65"/>
      <c r="F27" s="52" t="s">
        <v>166</v>
      </c>
    </row>
    <row r="28" spans="1:6" ht="18" customHeight="1" x14ac:dyDescent="0.35">
      <c r="A28" s="6" t="s">
        <v>78</v>
      </c>
      <c r="B28" s="6" t="s">
        <v>79</v>
      </c>
      <c r="C28" s="6">
        <v>2023</v>
      </c>
      <c r="D28" s="6">
        <v>2024</v>
      </c>
      <c r="E28" s="6">
        <v>2025</v>
      </c>
      <c r="F28" s="6">
        <v>2025</v>
      </c>
    </row>
    <row r="29" spans="1:6" ht="18" customHeight="1" x14ac:dyDescent="0.35">
      <c r="A29" s="7" t="s">
        <v>100</v>
      </c>
      <c r="B29" s="8" t="s">
        <v>101</v>
      </c>
      <c r="C29" s="11">
        <f>IFERROR('Financial Statements'!B63/'Financial Statements'!B16,"N/A")</f>
        <v>76.808575465365607</v>
      </c>
      <c r="D29" s="11">
        <f>IFERROR('Financial Statements'!C63/'Financial Statements'!C16,"N/A")</f>
        <v>31.099961094024874</v>
      </c>
      <c r="E29" s="11">
        <f>IFERROR('Financial Statements'!D63/'Financial Statements'!D16,"N/A")</f>
        <v>14.076472156779312</v>
      </c>
      <c r="F29" s="12">
        <f>IFERROR('Financial Statements'!E63/'Financial Statements'!E16,"N/A")</f>
        <v>14.270953565024946</v>
      </c>
    </row>
    <row r="30" spans="1:6" ht="18" customHeight="1" x14ac:dyDescent="0.35">
      <c r="A30" s="7" t="s">
        <v>104</v>
      </c>
      <c r="B30" s="8" t="s">
        <v>105</v>
      </c>
      <c r="C30" s="11">
        <f>IFERROR('Financial Statements'!B64/'Financial Statements'!B47,"N/A")</f>
        <v>2.0433992849988898</v>
      </c>
      <c r="D30" s="11">
        <f>IFERROR('Financial Statements'!C64/'Financial Statements'!C47,"N/A")</f>
        <v>2.7683658806460358</v>
      </c>
      <c r="E30" s="11">
        <f>IFERROR('Financial Statements'!D64/'Financial Statements'!D47,"N/A")</f>
        <v>2.505019619568591</v>
      </c>
      <c r="F30" s="12">
        <f>IFERROR('Financial Statements'!E64/'Financial Statements'!E47,"N/A")</f>
        <v>1.6188968315563241</v>
      </c>
    </row>
    <row r="31" spans="1:6" ht="18" customHeight="1" x14ac:dyDescent="0.35">
      <c r="A31" s="7" t="s">
        <v>108</v>
      </c>
      <c r="B31" s="8" t="s">
        <v>109</v>
      </c>
      <c r="C31" s="11">
        <f>IFERROR('Financial Statements'!B64/'Financial Statements'!B15,"N/A")</f>
        <v>9.8599752340409186</v>
      </c>
      <c r="D31" s="11">
        <f>IFERROR('Financial Statements'!C64/'Financial Statements'!C15,"N/A")</f>
        <v>6.8985038717599449</v>
      </c>
      <c r="E31" s="11">
        <f>IFERROR('Financial Statements'!D64/'Financial Statements'!D15,"N/A")</f>
        <v>6.4059207570188939</v>
      </c>
      <c r="F31" s="12">
        <f>IFERROR('Financial Statements'!E64/'Financial Statements'!E15,"N/A")</f>
        <v>7.385330550265885</v>
      </c>
    </row>
    <row r="32" spans="1:6" ht="18" customHeight="1" x14ac:dyDescent="0.35">
      <c r="A32" s="7" t="s">
        <v>116</v>
      </c>
      <c r="B32" s="8" t="s">
        <v>117</v>
      </c>
      <c r="C32" s="11">
        <f>IFERROR('Financial Statements'!B63/'Financial Statements'!B26,"N/A")</f>
        <v>1.3908286401860899</v>
      </c>
      <c r="D32" s="11">
        <f>IFERROR('Financial Statements'!C63/'Financial Statements'!C26,"N/A")</f>
        <v>1.5045251374675261</v>
      </c>
      <c r="E32" s="11">
        <f>IFERROR('Financial Statements'!D63/'Financial Statements'!D26,"N/A")</f>
        <v>1.1907782237921181</v>
      </c>
      <c r="F32" s="12">
        <f>IFERROR('Financial Statements'!E63/'Financial Statements'!E26,"N/A")</f>
        <v>0.78886191085633806</v>
      </c>
    </row>
    <row r="33" spans="1:6" ht="18" customHeight="1" x14ac:dyDescent="0.35"/>
    <row r="34" spans="1:6" x14ac:dyDescent="0.35">
      <c r="A34" s="57" t="s">
        <v>118</v>
      </c>
      <c r="B34" s="57"/>
      <c r="C34" s="57"/>
      <c r="D34" s="57"/>
      <c r="E34" s="57"/>
      <c r="F34" s="57"/>
    </row>
    <row r="35" spans="1:6" x14ac:dyDescent="0.35">
      <c r="A35" s="6" t="s">
        <v>78</v>
      </c>
      <c r="B35" s="6" t="s">
        <v>79</v>
      </c>
      <c r="C35" s="6" t="s">
        <v>80</v>
      </c>
      <c r="D35" s="6" t="s">
        <v>81</v>
      </c>
      <c r="E35" s="6" t="s">
        <v>82</v>
      </c>
      <c r="F35" s="6" t="s">
        <v>83</v>
      </c>
    </row>
    <row r="36" spans="1:6" x14ac:dyDescent="0.35">
      <c r="A36" s="7" t="s">
        <v>119</v>
      </c>
      <c r="B36" s="8" t="s">
        <v>120</v>
      </c>
      <c r="C36" s="15">
        <f>IFERROR('Financial Statements'!B65/'Financial Statements'!B63,"N/A")</f>
        <v>0.32318168953813875</v>
      </c>
      <c r="D36" s="15">
        <f>IFERROR('Financial Statements'!C65/'Financial Statements'!C63,"N/A")</f>
        <v>0.28161916858313246</v>
      </c>
      <c r="E36" s="15">
        <f>IFERROR('Financial Statements'!D65/'Financial Statements'!D63,"N/A")</f>
        <v>0.30596194287484879</v>
      </c>
      <c r="F36" s="16">
        <f>IFERROR('Financial Statements'!E65/'Financial Statements'!E63,"N/A")</f>
        <v>0.30772476974109292</v>
      </c>
    </row>
    <row r="37" spans="1:6" x14ac:dyDescent="0.35">
      <c r="A37" s="7" t="s">
        <v>121</v>
      </c>
      <c r="B37" s="8" t="s">
        <v>122</v>
      </c>
      <c r="C37" s="15">
        <f>IFERROR('Financial Statements'!B76/'Financial Statements'!B63,"N/A")</f>
        <v>0.11707896456591289</v>
      </c>
      <c r="D37" s="15">
        <f>IFERROR('Financial Statements'!C76/'Financial Statements'!C63,"N/A")</f>
        <v>0.11010117874162995</v>
      </c>
      <c r="E37" s="15">
        <f>IFERROR('Financial Statements'!D76/'Financial Statements'!D63,"N/A")</f>
        <v>9.542431997842743E-2</v>
      </c>
      <c r="F37" s="16">
        <f>IFERROR('Financial Statements'!E76/'Financial Statements'!E63,"N/A")</f>
        <v>0.17582703957747167</v>
      </c>
    </row>
    <row r="38" spans="1:6" x14ac:dyDescent="0.35">
      <c r="A38" s="7" t="s">
        <v>123</v>
      </c>
      <c r="B38" s="8" t="s">
        <v>124</v>
      </c>
      <c r="C38" s="15">
        <f>IFERROR('Financial Statements'!B76/'Financial Statements'!B26,"N/A")</f>
        <v>0.16283677708160402</v>
      </c>
      <c r="D38" s="15">
        <f>IFERROR('Financial Statements'!C76/'Financial Statements'!C26,"N/A")</f>
        <v>0.16564999108158746</v>
      </c>
      <c r="E38" s="15">
        <f>IFERROR('Financial Statements'!D76/'Financial Statements'!D26,"N/A")</f>
        <v>0.11362920225048254</v>
      </c>
      <c r="F38" s="16">
        <f>IFERROR('Financial Statements'!E76/'Financial Statements'!E26,"N/A")</f>
        <v>0.1387032544212973</v>
      </c>
    </row>
    <row r="39" spans="1:6" x14ac:dyDescent="0.35">
      <c r="A39" s="7" t="s">
        <v>125</v>
      </c>
      <c r="B39" s="8" t="s">
        <v>126</v>
      </c>
      <c r="C39" s="15">
        <f>IFERROR('Financial Statements'!B76/'Financial Statements'!B38,"N/A")</f>
        <v>0.54675565111025448</v>
      </c>
      <c r="D39" s="15">
        <f>IFERROR('Financial Statements'!C76/'Financial Statements'!C38,"N/A")</f>
        <v>0.59547208190794898</v>
      </c>
      <c r="E39" s="15">
        <f>IFERROR('Financial Statements'!D76/'Financial Statements'!D38,"N/A")</f>
        <v>0.50568582579331489</v>
      </c>
      <c r="F39" s="16">
        <f>IFERROR('Financial Statements'!E76/'Financial Statements'!E38,"N/A")</f>
        <v>0.32124191922211487</v>
      </c>
    </row>
  </sheetData>
  <mergeCells count="10">
    <mergeCell ref="A34:F34"/>
    <mergeCell ref="A1:F1"/>
    <mergeCell ref="A2:F2"/>
    <mergeCell ref="A4:F4"/>
    <mergeCell ref="A8:F8"/>
    <mergeCell ref="A14:F14"/>
    <mergeCell ref="A26:F26"/>
    <mergeCell ref="C27:E27"/>
    <mergeCell ref="A18:F18"/>
    <mergeCell ref="C19:E19"/>
  </mergeCells>
  <pageMargins left="0.75" right="0.75" top="1" bottom="1" header="0.511811023622047" footer="0.511811023622047"/>
  <pageSetup paperSize="9"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73"/>
  <sheetViews>
    <sheetView showGridLines="0" zoomScale="74" zoomScaleNormal="74" workbookViewId="0">
      <selection activeCell="A21" sqref="A21"/>
    </sheetView>
  </sheetViews>
  <sheetFormatPr defaultColWidth="8.6328125" defaultRowHeight="14.5" x14ac:dyDescent="0.35"/>
  <cols>
    <col min="1" max="1" width="36" customWidth="1"/>
    <col min="2" max="2" width="16" hidden="1" customWidth="1"/>
    <col min="3" max="3" width="7" customWidth="1"/>
    <col min="4" max="4" width="16" hidden="1" customWidth="1"/>
    <col min="5" max="5" width="7" customWidth="1"/>
    <col min="6" max="6" width="16" hidden="1" customWidth="1"/>
    <col min="7" max="7" width="7" customWidth="1"/>
    <col min="8" max="8" width="2" customWidth="1"/>
    <col min="9" max="9" width="36" customWidth="1"/>
    <col min="10" max="12" width="12" customWidth="1"/>
    <col min="13" max="13" width="14" hidden="1" customWidth="1"/>
  </cols>
  <sheetData>
    <row r="1" spans="1:13" ht="27.75" customHeight="1" x14ac:dyDescent="0.35">
      <c r="A1" s="70" t="s">
        <v>127</v>
      </c>
      <c r="B1" s="70"/>
      <c r="C1" s="70"/>
      <c r="D1" s="70"/>
      <c r="E1" s="70"/>
      <c r="F1" s="70"/>
      <c r="G1" s="70"/>
      <c r="H1" s="70"/>
      <c r="I1" s="70"/>
      <c r="J1" s="70"/>
      <c r="K1" s="70"/>
      <c r="L1" s="70"/>
      <c r="M1" s="70"/>
    </row>
    <row r="2" spans="1:13" ht="27.75" customHeight="1" x14ac:dyDescent="0.35">
      <c r="A2" s="71" t="s">
        <v>128</v>
      </c>
      <c r="B2" s="71"/>
      <c r="C2" s="71"/>
      <c r="D2" s="71"/>
      <c r="E2" s="71"/>
      <c r="F2" s="71"/>
      <c r="G2" s="71"/>
      <c r="I2" s="72" t="s">
        <v>129</v>
      </c>
      <c r="J2" s="72"/>
      <c r="K2" s="72"/>
      <c r="L2" s="72"/>
      <c r="M2" s="72"/>
    </row>
    <row r="3" spans="1:13" ht="27.75" customHeight="1" x14ac:dyDescent="0.35">
      <c r="A3" s="73" t="s">
        <v>130</v>
      </c>
      <c r="B3" s="73"/>
      <c r="C3" s="73"/>
      <c r="D3" s="73"/>
      <c r="E3" s="73"/>
      <c r="F3" s="73"/>
      <c r="G3" s="73"/>
      <c r="I3" s="73" t="s">
        <v>130</v>
      </c>
      <c r="J3" s="73"/>
      <c r="K3" s="73"/>
      <c r="L3" s="73"/>
      <c r="M3" s="73"/>
    </row>
    <row r="4" spans="1:13" ht="36" customHeight="1" x14ac:dyDescent="0.35">
      <c r="A4" s="17" t="s">
        <v>2</v>
      </c>
      <c r="B4" s="17" t="s">
        <v>131</v>
      </c>
      <c r="C4" s="17" t="s">
        <v>132</v>
      </c>
      <c r="D4" s="17" t="s">
        <v>133</v>
      </c>
      <c r="E4" s="17" t="s">
        <v>134</v>
      </c>
      <c r="F4" s="17" t="s">
        <v>135</v>
      </c>
      <c r="G4" s="17" t="s">
        <v>136</v>
      </c>
      <c r="H4" s="18"/>
      <c r="I4" s="17" t="s">
        <v>2</v>
      </c>
      <c r="J4" s="19" t="s">
        <v>137</v>
      </c>
      <c r="K4" s="19" t="s">
        <v>138</v>
      </c>
      <c r="L4" s="19" t="s">
        <v>139</v>
      </c>
      <c r="M4" s="20" t="s">
        <v>140</v>
      </c>
    </row>
    <row r="5" spans="1:13" ht="19.5" customHeight="1" x14ac:dyDescent="0.35">
      <c r="A5" s="68" t="s">
        <v>8</v>
      </c>
      <c r="B5" s="68"/>
      <c r="C5" s="68"/>
      <c r="D5" s="68"/>
      <c r="E5" s="68"/>
      <c r="F5" s="68"/>
      <c r="G5" s="68"/>
      <c r="I5" s="68" t="s">
        <v>8</v>
      </c>
      <c r="J5" s="68"/>
      <c r="K5" s="68"/>
      <c r="L5" s="68"/>
      <c r="M5" s="68"/>
    </row>
    <row r="6" spans="1:13" ht="16.5" customHeight="1" x14ac:dyDescent="0.35">
      <c r="A6" s="37" t="s">
        <v>9</v>
      </c>
      <c r="B6" s="38">
        <f>'Financial Statements'!B7</f>
        <v>78440081</v>
      </c>
      <c r="C6" s="35">
        <f>IFERROR('Financial Statements'!B7/'Financial Statements'!B26,0)</f>
        <v>0.48768203735986226</v>
      </c>
      <c r="D6" s="38">
        <f>'Financial Statements'!C7</f>
        <v>83137431</v>
      </c>
      <c r="E6" s="35">
        <f>IFERROR('Financial Statements'!C7/'Financial Statements'!C26,0)</f>
        <v>0.48731771840336557</v>
      </c>
      <c r="F6" s="38">
        <f>'Financial Statements'!D7</f>
        <v>92391260</v>
      </c>
      <c r="G6" s="35">
        <f>IFERROR('Financial Statements'!D7/'Financial Statements'!D26,0)</f>
        <v>0.46395283519498709</v>
      </c>
      <c r="H6" s="39"/>
      <c r="I6" s="37" t="s">
        <v>9</v>
      </c>
      <c r="J6" s="40">
        <f>IFERROR('Financial Statements'!B7/'Financial Statements'!B7,0)</f>
        <v>1</v>
      </c>
      <c r="K6" s="35">
        <f>IFERROR('Financial Statements'!C7/'Financial Statements'!B7,0)</f>
        <v>1.0598845633522485</v>
      </c>
      <c r="L6" s="35">
        <f>IFERROR('Financial Statements'!D7/'Financial Statements'!B7,0)</f>
        <v>1.1778577842111102</v>
      </c>
      <c r="M6" s="35">
        <f>IFERROR('Financial Statements'!E7/'Financial Statements'!B7,0)</f>
        <v>1.6891113485719118</v>
      </c>
    </row>
    <row r="7" spans="1:13" ht="16.5" customHeight="1" x14ac:dyDescent="0.35">
      <c r="A7" s="41" t="s">
        <v>10</v>
      </c>
      <c r="B7" s="42">
        <f>'Financial Statements'!B8</f>
        <v>5184192</v>
      </c>
      <c r="C7" s="34">
        <f>IFERROR('Financial Statements'!B8/'Financial Statements'!B26,0)</f>
        <v>3.22314470407635E-2</v>
      </c>
      <c r="D7" s="42">
        <f>'Financial Statements'!C8</f>
        <v>5007551</v>
      </c>
      <c r="E7" s="34">
        <f>IFERROR('Financial Statements'!C8/'Financial Statements'!C26,0)</f>
        <v>2.9352221962553687E-2</v>
      </c>
      <c r="F7" s="42">
        <f>'Financial Statements'!D8</f>
        <v>4779969</v>
      </c>
      <c r="G7" s="34">
        <f>IFERROR('Financial Statements'!D8/'Financial Statements'!D26,0)</f>
        <v>2.4003138064078219E-2</v>
      </c>
      <c r="H7" s="39"/>
      <c r="I7" s="41" t="s">
        <v>10</v>
      </c>
      <c r="J7" s="40">
        <f>IFERROR('Financial Statements'!B8/'Financial Statements'!B8,0)</f>
        <v>1</v>
      </c>
      <c r="K7" s="34">
        <f>IFERROR('Financial Statements'!C8/'Financial Statements'!B8,0)</f>
        <v>0.96592699498783996</v>
      </c>
      <c r="L7" s="34">
        <f>IFERROR('Financial Statements'!D8/'Financial Statements'!B8,0)</f>
        <v>0.92202777211955111</v>
      </c>
      <c r="M7" s="34">
        <f>IFERROR('Financial Statements'!E8/'Financial Statements'!B8,0)</f>
        <v>0.3930548868560424</v>
      </c>
    </row>
    <row r="8" spans="1:13" ht="16.5" customHeight="1" x14ac:dyDescent="0.35">
      <c r="A8" s="37" t="s">
        <v>11</v>
      </c>
      <c r="B8" s="38">
        <f>'Financial Statements'!B9</f>
        <v>202134</v>
      </c>
      <c r="C8" s="35">
        <f>IFERROR('Financial Statements'!B9/'Financial Statements'!B26,0)</f>
        <v>1.2567187550418058E-3</v>
      </c>
      <c r="D8" s="38">
        <f>'Financial Statements'!C9</f>
        <v>4268249</v>
      </c>
      <c r="E8" s="35">
        <f>IFERROR('Financial Statements'!C9/'Financial Statements'!C26,0)</f>
        <v>2.5018735114120217E-2</v>
      </c>
      <c r="F8" s="38">
        <f>'Financial Statements'!D9</f>
        <v>4348915</v>
      </c>
      <c r="G8" s="35">
        <f>IFERROR('Financial Statements'!D9/'Financial Statements'!D26,0)</f>
        <v>2.1838553173449602E-2</v>
      </c>
      <c r="H8" s="39"/>
      <c r="I8" s="37" t="s">
        <v>11</v>
      </c>
      <c r="J8" s="40">
        <f>IFERROR('Financial Statements'!B9/'Financial Statements'!B9,0)</f>
        <v>1</v>
      </c>
      <c r="K8" s="35">
        <f>IFERROR('Financial Statements'!C9/'Financial Statements'!B9,0)</f>
        <v>21.115937942157181</v>
      </c>
      <c r="L8" s="35">
        <f>IFERROR('Financial Statements'!D9/'Financial Statements'!B9,0)</f>
        <v>21.515009844954339</v>
      </c>
      <c r="M8" s="35">
        <f>IFERROR('Financial Statements'!E9/'Financial Statements'!B9,0)</f>
        <v>723.40721501578162</v>
      </c>
    </row>
    <row r="9" spans="1:13" ht="16.5" customHeight="1" x14ac:dyDescent="0.35">
      <c r="A9" s="41" t="s">
        <v>12</v>
      </c>
      <c r="B9" s="42">
        <f>'Financial Statements'!B10</f>
        <v>209806</v>
      </c>
      <c r="C9" s="34">
        <f>IFERROR('Financial Statements'!B10/'Financial Statements'!B26,0)</f>
        <v>1.3044175404449579E-3</v>
      </c>
      <c r="D9" s="42">
        <f>'Financial Statements'!C10</f>
        <v>197921</v>
      </c>
      <c r="E9" s="34">
        <f>IFERROR('Financial Statements'!C10/'Financial Statements'!C26,0)</f>
        <v>1.1601321929722908E-3</v>
      </c>
      <c r="F9" s="42">
        <f>'Financial Statements'!D10</f>
        <v>1534786</v>
      </c>
      <c r="G9" s="34">
        <f>IFERROR('Financial Statements'!D10/'Financial Statements'!D26,0)</f>
        <v>7.7070960620904344E-3</v>
      </c>
      <c r="H9" s="39"/>
      <c r="I9" s="41" t="s">
        <v>12</v>
      </c>
      <c r="J9" s="40">
        <f>IFERROR('Financial Statements'!B10/'Financial Statements'!B10,0)</f>
        <v>1</v>
      </c>
      <c r="K9" s="34">
        <f>IFERROR('Financial Statements'!C10/'Financial Statements'!B10,0)</f>
        <v>0.94335243034040972</v>
      </c>
      <c r="L9" s="34">
        <f>IFERROR('Financial Statements'!D10/'Financial Statements'!B10,0)</f>
        <v>7.315262671229612</v>
      </c>
      <c r="M9" s="34">
        <f>IFERROR('Financial Statements'!E10/'Financial Statements'!B10,0)</f>
        <v>21.591341525027882</v>
      </c>
    </row>
    <row r="10" spans="1:13" ht="16.5" customHeight="1" x14ac:dyDescent="0.35">
      <c r="A10" s="37" t="s">
        <v>141</v>
      </c>
      <c r="B10" s="38">
        <f>'Financial Statements'!B11</f>
        <v>0</v>
      </c>
      <c r="C10" s="35">
        <f>IFERROR('Financial Statements'!B11/'Financial Statements'!B26,0)</f>
        <v>0</v>
      </c>
      <c r="D10" s="38">
        <f>'Financial Statements'!C11</f>
        <v>0</v>
      </c>
      <c r="E10" s="35">
        <f>IFERROR('Financial Statements'!C11/'Financial Statements'!C26,0)</f>
        <v>0</v>
      </c>
      <c r="F10" s="38">
        <f>'Financial Statements'!D11</f>
        <v>0</v>
      </c>
      <c r="G10" s="35">
        <f>IFERROR('Financial Statements'!D11/'Financial Statements'!D26,0)</f>
        <v>0</v>
      </c>
      <c r="H10" s="39"/>
      <c r="I10" s="37" t="s">
        <v>141</v>
      </c>
      <c r="J10" s="40">
        <f>IFERROR('Financial Statements'!B11/'Financial Statements'!B11,0)</f>
        <v>0</v>
      </c>
      <c r="K10" s="35">
        <f>IFERROR('Financial Statements'!C11/'Financial Statements'!B11,0)</f>
        <v>0</v>
      </c>
      <c r="L10" s="35">
        <f>IFERROR('Financial Statements'!D11/'Financial Statements'!B11,0)</f>
        <v>0</v>
      </c>
      <c r="M10" s="35">
        <f>IFERROR('Financial Statements'!E11/'Financial Statements'!B11,0)</f>
        <v>0</v>
      </c>
    </row>
    <row r="11" spans="1:13" ht="16.5" customHeight="1" x14ac:dyDescent="0.35">
      <c r="A11" s="43" t="s">
        <v>14</v>
      </c>
      <c r="B11" s="44">
        <f>'Financial Statements'!B12</f>
        <v>84036213</v>
      </c>
      <c r="C11" s="36">
        <f>IFERROR('Financial Statements'!B12/'Financial Statements'!B26,0)</f>
        <v>0.5224746206961125</v>
      </c>
      <c r="D11" s="44">
        <f>'Financial Statements'!C12</f>
        <v>92611152</v>
      </c>
      <c r="E11" s="36">
        <f>IFERROR('Financial Statements'!C12/'Financial Statements'!C26,0)</f>
        <v>0.5428488076730118</v>
      </c>
      <c r="F11" s="44">
        <f>'Financial Statements'!D12</f>
        <v>103054930</v>
      </c>
      <c r="G11" s="36">
        <f>IFERROR('Financial Statements'!D12/'Financial Statements'!D26,0)</f>
        <v>0.51750162249460541</v>
      </c>
      <c r="H11" s="39"/>
      <c r="I11" s="43" t="s">
        <v>14</v>
      </c>
      <c r="J11" s="40">
        <f>IFERROR('Financial Statements'!B12/'Financial Statements'!B12,0)</f>
        <v>1</v>
      </c>
      <c r="K11" s="36">
        <f>IFERROR('Financial Statements'!C12/'Financial Statements'!B12,0)</f>
        <v>1.1020386175659771</v>
      </c>
      <c r="L11" s="36">
        <f>IFERROR('Financial Statements'!D12/'Financial Statements'!B12,0)</f>
        <v>1.2263157312907473</v>
      </c>
      <c r="M11" s="36">
        <f>IFERROR('Financial Statements'!E12/'Financial Statements'!B12,0)</f>
        <v>3.3965577673044356</v>
      </c>
    </row>
    <row r="12" spans="1:13" ht="19.5" customHeight="1" x14ac:dyDescent="0.35">
      <c r="A12" s="69" t="s">
        <v>15</v>
      </c>
      <c r="B12" s="69"/>
      <c r="C12" s="69"/>
      <c r="D12" s="69"/>
      <c r="E12" s="69"/>
      <c r="F12" s="69"/>
      <c r="G12" s="69"/>
      <c r="H12" s="45"/>
      <c r="I12" s="69" t="s">
        <v>15</v>
      </c>
      <c r="J12" s="69"/>
      <c r="K12" s="69"/>
      <c r="L12" s="69"/>
      <c r="M12" s="69"/>
    </row>
    <row r="13" spans="1:13" ht="16.5" customHeight="1" x14ac:dyDescent="0.35">
      <c r="A13" s="41" t="s">
        <v>16</v>
      </c>
      <c r="B13" s="42">
        <f>'Financial Statements'!B14</f>
        <v>8729523</v>
      </c>
      <c r="C13" s="34">
        <f>IFERROR('Financial Statements'!B14/'Financial Statements'!B26,0)</f>
        <v>5.4273676257674659E-2</v>
      </c>
      <c r="D13" s="42">
        <f>'Financial Statements'!C14</f>
        <v>8239527</v>
      </c>
      <c r="E13" s="34">
        <f>IFERROR('Financial Statements'!C14/'Financial Statements'!C26,0)</f>
        <v>4.8296747326278672E-2</v>
      </c>
      <c r="F13" s="42">
        <f>'Financial Statements'!D14</f>
        <v>9151070</v>
      </c>
      <c r="G13" s="34">
        <f>IFERROR('Financial Statements'!D14/'Financial Statements'!D26,0)</f>
        <v>4.5953100667398529E-2</v>
      </c>
      <c r="H13" s="39"/>
      <c r="I13" s="41" t="s">
        <v>16</v>
      </c>
      <c r="J13" s="40">
        <f>IFERROR('Financial Statements'!B14/'Financial Statements'!B14,0)</f>
        <v>1</v>
      </c>
      <c r="K13" s="34">
        <f>IFERROR('Financial Statements'!C14/'Financial Statements'!B14,0)</f>
        <v>0.94386909800226193</v>
      </c>
      <c r="L13" s="34">
        <f>IFERROR('Financial Statements'!D14/'Financial Statements'!B14,0)</f>
        <v>1.0482898091911781</v>
      </c>
      <c r="M13" s="34">
        <f>IFERROR('Financial Statements'!E14/'Financial Statements'!B14,0)</f>
        <v>2.0734836256230724</v>
      </c>
    </row>
    <row r="14" spans="1:13" ht="16.5" customHeight="1" x14ac:dyDescent="0.35">
      <c r="A14" s="37" t="s">
        <v>17</v>
      </c>
      <c r="B14" s="38">
        <f>'Financial Statements'!B15</f>
        <v>15355755</v>
      </c>
      <c r="C14" s="35">
        <f>IFERROR('Financial Statements'!B15/'Financial Statements'!B26,0)</f>
        <v>9.5470654646556172E-2</v>
      </c>
      <c r="D14" s="38">
        <f>'Financial Statements'!C15</f>
        <v>26729059</v>
      </c>
      <c r="E14" s="35">
        <f>IFERROR('Financial Statements'!C15/'Financial Statements'!C26,0)</f>
        <v>0.15667484417396713</v>
      </c>
      <c r="F14" s="38">
        <f>'Financial Statements'!D15</f>
        <v>25691512</v>
      </c>
      <c r="G14" s="35">
        <f>IFERROR('Financial Statements'!D15/'Financial Statements'!D26,0)</f>
        <v>0.12901274246986169</v>
      </c>
      <c r="H14" s="39"/>
      <c r="I14" s="37" t="s">
        <v>17</v>
      </c>
      <c r="J14" s="40">
        <f>IFERROR('Financial Statements'!B15/'Financial Statements'!B15,0)</f>
        <v>1</v>
      </c>
      <c r="K14" s="35">
        <f>IFERROR('Financial Statements'!C15/'Financial Statements'!B15,0)</f>
        <v>1.7406541716770032</v>
      </c>
      <c r="L14" s="35">
        <f>IFERROR('Financial Statements'!D15/'Financial Statements'!B15,0)</f>
        <v>1.6730868654781221</v>
      </c>
      <c r="M14" s="35">
        <f>IFERROR('Financial Statements'!E15/'Financial Statements'!B15,0)</f>
        <v>2.9533188045784788</v>
      </c>
    </row>
    <row r="15" spans="1:13" ht="16.5" customHeight="1" x14ac:dyDescent="0.35">
      <c r="A15" s="41" t="s">
        <v>18</v>
      </c>
      <c r="B15" s="42">
        <f>'Financial Statements'!B16</f>
        <v>2912495</v>
      </c>
      <c r="C15" s="34">
        <f>IFERROR('Financial Statements'!B16/'Financial Statements'!B26,0)</f>
        <v>1.810772601573948E-2</v>
      </c>
      <c r="D15" s="42">
        <f>'Financial Statements'!C16</f>
        <v>8253231</v>
      </c>
      <c r="E15" s="34">
        <f>IFERROR('Financial Statements'!C16/'Financial Statements'!C26,0)</f>
        <v>4.8377074586006E-2</v>
      </c>
      <c r="F15" s="42">
        <f>'Financial Statements'!D16</f>
        <v>16845896</v>
      </c>
      <c r="G15" s="34">
        <f>IFERROR('Financial Statements'!D16/'Financial Statements'!D26,0)</f>
        <v>8.4593512531378964E-2</v>
      </c>
      <c r="H15" s="39"/>
      <c r="I15" s="41" t="s">
        <v>18</v>
      </c>
      <c r="J15" s="40">
        <f>IFERROR('Financial Statements'!B16/'Financial Statements'!B16,0)</f>
        <v>1</v>
      </c>
      <c r="K15" s="34">
        <f>IFERROR('Financial Statements'!C16/'Financial Statements'!B16,0)</f>
        <v>2.8337322467506381</v>
      </c>
      <c r="L15" s="34">
        <f>IFERROR('Financial Statements'!D16/'Financial Statements'!B16,0)</f>
        <v>5.7840085562378647</v>
      </c>
      <c r="M15" s="34">
        <f>IFERROR('Financial Statements'!E16/'Financial Statements'!B16,0)</f>
        <v>11.640039897064201</v>
      </c>
    </row>
    <row r="16" spans="1:13" ht="16.5" customHeight="1" x14ac:dyDescent="0.35">
      <c r="A16" s="37" t="s">
        <v>142</v>
      </c>
      <c r="B16" s="38">
        <f>'Financial Statements'!B17</f>
        <v>0</v>
      </c>
      <c r="C16" s="35">
        <f>IFERROR('Financial Statements'!B17/'Financial Statements'!B26,0)</f>
        <v>0</v>
      </c>
      <c r="D16" s="38">
        <f>'Financial Statements'!C17</f>
        <v>0</v>
      </c>
      <c r="E16" s="35">
        <f>IFERROR('Financial Statements'!C17/'Financial Statements'!C26,0)</f>
        <v>0</v>
      </c>
      <c r="F16" s="38">
        <f>'Financial Statements'!D17</f>
        <v>0</v>
      </c>
      <c r="G16" s="35">
        <f>IFERROR('Financial Statements'!D17/'Financial Statements'!D26,0)</f>
        <v>0</v>
      </c>
      <c r="H16" s="39"/>
      <c r="I16" s="37" t="s">
        <v>142</v>
      </c>
      <c r="J16" s="40">
        <f>IFERROR('Financial Statements'!B17/'Financial Statements'!B17,0)</f>
        <v>0</v>
      </c>
      <c r="K16" s="35">
        <f>IFERROR('Financial Statements'!C17/'Financial Statements'!B17,0)</f>
        <v>0</v>
      </c>
      <c r="L16" s="35">
        <f>IFERROR('Financial Statements'!D17/'Financial Statements'!B17,0)</f>
        <v>0</v>
      </c>
      <c r="M16" s="35">
        <f>IFERROR('Financial Statements'!E17/'Financial Statements'!B17,0)</f>
        <v>0</v>
      </c>
    </row>
    <row r="17" spans="1:13" ht="16.5" customHeight="1" x14ac:dyDescent="0.35">
      <c r="A17" s="41" t="s">
        <v>20</v>
      </c>
      <c r="B17" s="42">
        <f>'Financial Statements'!B18</f>
        <v>16056950</v>
      </c>
      <c r="C17" s="34">
        <f>IFERROR('Financial Statements'!B18/'Financial Statements'!B26,0)</f>
        <v>9.9830163227208307E-2</v>
      </c>
      <c r="D17" s="42">
        <f>'Financial Statements'!C18</f>
        <v>11995667</v>
      </c>
      <c r="E17" s="34">
        <f>IFERROR('Financial Statements'!C18/'Financial Statements'!C26,0)</f>
        <v>7.0313708312282897E-2</v>
      </c>
      <c r="F17" s="42">
        <f>'Financial Statements'!D18</f>
        <v>7834671</v>
      </c>
      <c r="G17" s="34">
        <f>IFERROR('Financial Statements'!D18/'Financial Statements'!D26,0)</f>
        <v>3.9342658853986238E-2</v>
      </c>
      <c r="H17" s="39"/>
      <c r="I17" s="41" t="s">
        <v>20</v>
      </c>
      <c r="J17" s="40">
        <f>IFERROR('Financial Statements'!B18/'Financial Statements'!B18,0)</f>
        <v>1</v>
      </c>
      <c r="K17" s="34">
        <f>IFERROR('Financial Statements'!C18/'Financial Statements'!B18,0)</f>
        <v>0.74707008491650029</v>
      </c>
      <c r="L17" s="34">
        <f>IFERROR('Financial Statements'!D18/'Financial Statements'!B18,0)</f>
        <v>0.48793021090555805</v>
      </c>
      <c r="M17" s="34">
        <f>IFERROR('Financial Statements'!E18/'Financial Statements'!B18,0)</f>
        <v>0.52577475797084749</v>
      </c>
    </row>
    <row r="18" spans="1:13" ht="16.5" customHeight="1" x14ac:dyDescent="0.35">
      <c r="A18" s="37" t="s">
        <v>21</v>
      </c>
      <c r="B18" s="38">
        <f>'Financial Statements'!B19</f>
        <v>3993197</v>
      </c>
      <c r="C18" s="35">
        <f>IFERROR('Financial Statements'!B19/'Financial Statements'!B26,0)</f>
        <v>2.4826726639143704E-2</v>
      </c>
      <c r="D18" s="38">
        <f>'Financial Statements'!C19</f>
        <v>4594998</v>
      </c>
      <c r="E18" s="35">
        <f>IFERROR('Financial Statements'!C19/'Financial Statements'!C26,0)</f>
        <v>2.6934004509088429E-2</v>
      </c>
      <c r="F18" s="38">
        <f>'Financial Statements'!D19</f>
        <v>3669419</v>
      </c>
      <c r="G18" s="35">
        <f>IFERROR('Financial Statements'!D19/'Financial Statements'!D26,0)</f>
        <v>1.8426389558583296E-2</v>
      </c>
      <c r="H18" s="39"/>
      <c r="I18" s="37" t="s">
        <v>21</v>
      </c>
      <c r="J18" s="40">
        <f>IFERROR('Financial Statements'!B19/'Financial Statements'!B19,0)</f>
        <v>1</v>
      </c>
      <c r="K18" s="35">
        <f>IFERROR('Financial Statements'!C19/'Financial Statements'!B19,0)</f>
        <v>1.1507065641890446</v>
      </c>
      <c r="L18" s="35">
        <f>IFERROR('Financial Statements'!D19/'Financial Statements'!B19,0)</f>
        <v>0.91891759910668069</v>
      </c>
      <c r="M18" s="35">
        <f>IFERROR('Financial Statements'!E19/'Financial Statements'!B19,0)</f>
        <v>1.8918380435525721</v>
      </c>
    </row>
    <row r="19" spans="1:13" ht="16.5" customHeight="1" x14ac:dyDescent="0.35">
      <c r="A19" s="41" t="s">
        <v>143</v>
      </c>
      <c r="B19" s="42">
        <f>'Financial Statements'!B20</f>
        <v>116629</v>
      </c>
      <c r="C19" s="34">
        <f>IFERROR('Financial Statements'!B20/'Financial Statements'!B26,0)</f>
        <v>7.2511231006050817E-4</v>
      </c>
      <c r="D19" s="42">
        <f>'Financial Statements'!C20</f>
        <v>272080</v>
      </c>
      <c r="E19" s="34">
        <f>IFERROR('Financial Statements'!C20/'Financial Statements'!C26,0)</f>
        <v>1.5948220101146464E-3</v>
      </c>
      <c r="F19" s="42">
        <f>'Financial Statements'!D20</f>
        <v>147159</v>
      </c>
      <c r="G19" s="34">
        <f>IFERROR('Financial Statements'!D20/'Financial Statements'!D26,0)</f>
        <v>7.3897504238451897E-4</v>
      </c>
      <c r="H19" s="39"/>
      <c r="I19" s="41" t="s">
        <v>143</v>
      </c>
      <c r="J19" s="40">
        <f>IFERROR('Financial Statements'!B20/'Financial Statements'!B20,0)</f>
        <v>1</v>
      </c>
      <c r="K19" s="34">
        <f>IFERROR('Financial Statements'!C20/'Financial Statements'!B20,0)</f>
        <v>2.3328674686398752</v>
      </c>
      <c r="L19" s="34">
        <f>IFERROR('Financial Statements'!D20/'Financial Statements'!B20,0)</f>
        <v>1.261770228673829</v>
      </c>
      <c r="M19" s="34">
        <f>IFERROR('Financial Statements'!E20/'Financial Statements'!B20,0)</f>
        <v>0</v>
      </c>
    </row>
    <row r="20" spans="1:13" ht="16.5" customHeight="1" x14ac:dyDescent="0.35">
      <c r="A20" s="37" t="s">
        <v>23</v>
      </c>
      <c r="B20" s="38">
        <f>'Financial Statements'!B21</f>
        <v>0</v>
      </c>
      <c r="C20" s="35">
        <f>IFERROR('Financial Statements'!B21/'Financial Statements'!B26,0)</f>
        <v>0</v>
      </c>
      <c r="D20" s="38">
        <f>'Financial Statements'!C21</f>
        <v>9907395</v>
      </c>
      <c r="E20" s="35">
        <f>IFERROR('Financial Statements'!C21/'Financial Statements'!C26,0)</f>
        <v>5.8073109412304452E-2</v>
      </c>
      <c r="F20" s="38">
        <f>'Financial Statements'!D21</f>
        <v>8689083</v>
      </c>
      <c r="G20" s="35">
        <f>IFERROR('Financial Statements'!D21/'Financial Statements'!D26,0)</f>
        <v>4.3633182328009862E-2</v>
      </c>
      <c r="H20" s="39"/>
      <c r="I20" s="37" t="s">
        <v>23</v>
      </c>
      <c r="J20" s="40">
        <f>IFERROR('Financial Statements'!B21/'Financial Statements'!B21,0)</f>
        <v>0</v>
      </c>
      <c r="K20" s="35">
        <f>IFERROR('Financial Statements'!C21/'Financial Statements'!B21,0)</f>
        <v>0</v>
      </c>
      <c r="L20" s="35">
        <f>IFERROR('Financial Statements'!D21/'Financial Statements'!B21,0)</f>
        <v>0</v>
      </c>
      <c r="M20" s="35">
        <f>IFERROR('Financial Statements'!E21/'Financial Statements'!B21,0)</f>
        <v>0</v>
      </c>
    </row>
    <row r="21" spans="1:13" ht="16.5" customHeight="1" x14ac:dyDescent="0.35">
      <c r="A21" s="41" t="s">
        <v>24</v>
      </c>
      <c r="B21" s="42">
        <f>'Financial Statements'!B22</f>
        <v>24062828</v>
      </c>
      <c r="C21" s="34">
        <f>IFERROR('Financial Statements'!B22/'Financial Statements'!B26,0)</f>
        <v>0.14960475351472344</v>
      </c>
      <c r="D21" s="42">
        <f>'Financial Statements'!C22</f>
        <v>3690852</v>
      </c>
      <c r="E21" s="34">
        <f>IFERROR('Financial Statements'!C22/'Financial Statements'!C26,0)</f>
        <v>2.1634269353409522E-2</v>
      </c>
      <c r="F21" s="42">
        <f>'Financial Statements'!D22</f>
        <v>16012850</v>
      </c>
      <c r="G21" s="34">
        <f>IFERROR('Financial Statements'!D22/'Financial Statements'!D26,0)</f>
        <v>8.0410280767380479E-2</v>
      </c>
      <c r="H21" s="39"/>
      <c r="I21" s="41" t="s">
        <v>24</v>
      </c>
      <c r="J21" s="40">
        <f>IFERROR('Financial Statements'!B22/'Financial Statements'!B22,0)</f>
        <v>1</v>
      </c>
      <c r="K21" s="34">
        <f>IFERROR('Financial Statements'!C22/'Financial Statements'!B22,0)</f>
        <v>0.15338396634011597</v>
      </c>
      <c r="L21" s="34">
        <f>IFERROR('Financial Statements'!D22/'Financial Statements'!B22,0)</f>
        <v>0.66546001991120907</v>
      </c>
      <c r="M21" s="34">
        <f>IFERROR('Financial Statements'!E22/'Financial Statements'!B22,0)</f>
        <v>8.2714285286833285</v>
      </c>
    </row>
    <row r="22" spans="1:13" ht="16.5" customHeight="1" x14ac:dyDescent="0.35">
      <c r="A22" s="37" t="s">
        <v>25</v>
      </c>
      <c r="B22" s="38">
        <f>'Financial Statements'!B23</f>
        <v>4053684</v>
      </c>
      <c r="C22" s="35">
        <f>IFERROR('Financial Statements'!B23/'Financial Statements'!B26,0)</f>
        <v>2.5202789782089542E-2</v>
      </c>
      <c r="D22" s="38">
        <f>'Financial Statements'!C23</f>
        <v>4308149</v>
      </c>
      <c r="E22" s="35">
        <f>IFERROR('Financial Statements'!C23/'Financial Statements'!C26,0)</f>
        <v>2.5252612643536471E-2</v>
      </c>
      <c r="F22" s="38">
        <f>'Financial Statements'!D23</f>
        <v>8042747</v>
      </c>
      <c r="G22" s="35">
        <f>IFERROR('Financial Statements'!D23/'Financial Statements'!D26,0)</f>
        <v>4.0387535286411043E-2</v>
      </c>
      <c r="H22" s="39"/>
      <c r="I22" s="37" t="s">
        <v>25</v>
      </c>
      <c r="J22" s="40">
        <f>IFERROR('Financial Statements'!B23/'Financial Statements'!B23,0)</f>
        <v>1</v>
      </c>
      <c r="K22" s="35">
        <f>IFERROR('Financial Statements'!C23/'Financial Statements'!B23,0)</f>
        <v>1.0627737633224494</v>
      </c>
      <c r="L22" s="35">
        <f>IFERROR('Financial Statements'!D23/'Financial Statements'!B23,0)</f>
        <v>1.984058698211306</v>
      </c>
      <c r="M22" s="35">
        <f>IFERROR('Financial Statements'!E23/'Financial Statements'!B23,0)</f>
        <v>3.4450825471349025</v>
      </c>
    </row>
    <row r="23" spans="1:13" ht="16.5" customHeight="1" x14ac:dyDescent="0.35">
      <c r="A23" s="41" t="s">
        <v>144</v>
      </c>
      <c r="B23" s="42">
        <f>'Financial Statements'!B24</f>
        <v>1525396</v>
      </c>
      <c r="C23" s="34">
        <f>IFERROR('Financial Statements'!B24/'Financial Statements'!B26,0)</f>
        <v>9.4837769106916707E-3</v>
      </c>
      <c r="D23" s="42">
        <f>'Financial Statements'!C24</f>
        <v>0</v>
      </c>
      <c r="E23" s="34">
        <f>IFERROR('Financial Statements'!C24/'Financial Statements'!C26,0)</f>
        <v>0</v>
      </c>
      <c r="F23" s="42">
        <f>'Financial Statements'!D24</f>
        <v>0</v>
      </c>
      <c r="G23" s="34">
        <f>IFERROR('Financial Statements'!D24/'Financial Statements'!D26,0)</f>
        <v>0</v>
      </c>
      <c r="H23" s="39"/>
      <c r="I23" s="41" t="s">
        <v>144</v>
      </c>
      <c r="J23" s="40">
        <f>IFERROR('Financial Statements'!B24/'Financial Statements'!B24,0)</f>
        <v>1</v>
      </c>
      <c r="K23" s="34">
        <f>IFERROR('Financial Statements'!C24/'Financial Statements'!B24,0)</f>
        <v>0</v>
      </c>
      <c r="L23" s="34">
        <f>IFERROR('Financial Statements'!D24/'Financial Statements'!B24,0)</f>
        <v>0</v>
      </c>
      <c r="M23" s="34">
        <f>IFERROR('Financial Statements'!E24/'Financial Statements'!B24,0)</f>
        <v>0</v>
      </c>
    </row>
    <row r="24" spans="1:13" ht="16.5" customHeight="1" x14ac:dyDescent="0.35">
      <c r="A24" s="43" t="s">
        <v>27</v>
      </c>
      <c r="B24" s="44">
        <f>'Financial Statements'!B25</f>
        <v>76806457</v>
      </c>
      <c r="C24" s="36">
        <f>IFERROR('Financial Statements'!B25/'Financial Statements'!B26,0)</f>
        <v>0.47752537930388744</v>
      </c>
      <c r="D24" s="44">
        <f>'Financial Statements'!C25</f>
        <v>77990958</v>
      </c>
      <c r="E24" s="36">
        <f>IFERROR('Financial Statements'!C25/'Financial Statements'!C26,0)</f>
        <v>0.4571511923269882</v>
      </c>
      <c r="F24" s="44">
        <f>'Financial Statements'!D25</f>
        <v>96084407</v>
      </c>
      <c r="G24" s="36">
        <f>IFERROR('Financial Statements'!D25/'Financial Statements'!D26,0)</f>
        <v>0.48249837750539465</v>
      </c>
      <c r="H24" s="39"/>
      <c r="I24" s="43" t="s">
        <v>27</v>
      </c>
      <c r="J24" s="40">
        <f>IFERROR('Financial Statements'!B25/'Financial Statements'!B25,0)</f>
        <v>1</v>
      </c>
      <c r="K24" s="36">
        <f>IFERROR('Financial Statements'!C25/'Financial Statements'!B25,0)</f>
        <v>1.0154218935004384</v>
      </c>
      <c r="L24" s="36">
        <f>IFERROR('Financial Statements'!D25/'Financial Statements'!B25,0)</f>
        <v>1.2509938715178595</v>
      </c>
      <c r="M24" s="36">
        <f>IFERROR('Financial Statements'!E25/'Financial Statements'!B25,0)</f>
        <v>4.2687076426399928</v>
      </c>
    </row>
    <row r="25" spans="1:13" ht="16.5" customHeight="1" x14ac:dyDescent="0.35">
      <c r="A25" s="46" t="s">
        <v>145</v>
      </c>
      <c r="B25" s="44">
        <f>'Financial Statements'!B26</f>
        <v>160842670</v>
      </c>
      <c r="C25" s="36">
        <f>IFERROR('Financial Statements'!B26/'Financial Statements'!B26,0)</f>
        <v>1</v>
      </c>
      <c r="D25" s="44">
        <f>'Financial Statements'!C26</f>
        <v>170602110</v>
      </c>
      <c r="E25" s="36">
        <f>IFERROR('Financial Statements'!C26/'Financial Statements'!C26,0)</f>
        <v>1</v>
      </c>
      <c r="F25" s="44">
        <f>'Financial Statements'!D26</f>
        <v>199139337</v>
      </c>
      <c r="G25" s="36">
        <f>IFERROR('Financial Statements'!D26/'Financial Statements'!D26,0)</f>
        <v>1</v>
      </c>
      <c r="H25" s="39"/>
      <c r="I25" s="46" t="s">
        <v>145</v>
      </c>
      <c r="J25" s="40">
        <f>IFERROR('Financial Statements'!B26/'Financial Statements'!B26,0)</f>
        <v>1</v>
      </c>
      <c r="K25" s="36">
        <f>IFERROR('Financial Statements'!C26/'Financial Statements'!B26,0)</f>
        <v>1.0606769335525206</v>
      </c>
      <c r="L25" s="36">
        <f>IFERROR('Financial Statements'!D26/'Financial Statements'!B26,0)</f>
        <v>1.2381001695632134</v>
      </c>
      <c r="M25" s="36">
        <f>IFERROR('Financial Statements'!E26/'Financial Statements'!B26,0)</f>
        <v>3.8130314673338859</v>
      </c>
    </row>
    <row r="26" spans="1:13" ht="19.5" customHeight="1" x14ac:dyDescent="0.35">
      <c r="A26" s="69" t="s">
        <v>29</v>
      </c>
      <c r="B26" s="69"/>
      <c r="C26" s="69"/>
      <c r="D26" s="69"/>
      <c r="E26" s="69"/>
      <c r="F26" s="69"/>
      <c r="G26" s="69"/>
      <c r="H26" s="45"/>
      <c r="I26" s="69" t="s">
        <v>29</v>
      </c>
      <c r="J26" s="69"/>
      <c r="K26" s="69"/>
      <c r="L26" s="69"/>
      <c r="M26" s="69"/>
    </row>
    <row r="27" spans="1:13" ht="18" customHeight="1" x14ac:dyDescent="0.35">
      <c r="A27" s="67" t="s">
        <v>30</v>
      </c>
      <c r="B27" s="67"/>
      <c r="C27" s="67"/>
      <c r="D27" s="67"/>
      <c r="E27" s="67"/>
      <c r="F27" s="67"/>
      <c r="G27" s="67"/>
      <c r="H27" s="45"/>
      <c r="I27" s="67" t="s">
        <v>30</v>
      </c>
      <c r="J27" s="67"/>
      <c r="K27" s="67"/>
      <c r="L27" s="67"/>
      <c r="M27" s="67"/>
    </row>
    <row r="28" spans="1:13" ht="16.5" customHeight="1" x14ac:dyDescent="0.35">
      <c r="A28" s="37" t="s">
        <v>31</v>
      </c>
      <c r="B28" s="38">
        <f>'Financial Statements'!B29</f>
        <v>13352993</v>
      </c>
      <c r="C28" s="35">
        <f>IFERROR('Financial Statements'!B29/'Financial Statements'!B26,0)</f>
        <v>8.3018971271740266E-2</v>
      </c>
      <c r="D28" s="38">
        <f>'Financial Statements'!C29</f>
        <v>13352993</v>
      </c>
      <c r="E28" s="35">
        <f>IFERROR('Financial Statements'!C29/'Financial Statements'!C26,0)</f>
        <v>7.8269799828384307E-2</v>
      </c>
      <c r="F28" s="38">
        <f>'Financial Statements'!D29</f>
        <v>13352993</v>
      </c>
      <c r="G28" s="35">
        <f>IFERROR('Financial Statements'!D29/'Financial Statements'!D26,0)</f>
        <v>6.7053517407261426E-2</v>
      </c>
      <c r="H28" s="39"/>
      <c r="I28" s="37" t="s">
        <v>31</v>
      </c>
      <c r="J28" s="40">
        <f>IFERROR('Financial Statements'!B29/'Financial Statements'!B29,0)</f>
        <v>1</v>
      </c>
      <c r="K28" s="35">
        <f>IFERROR('Financial Statements'!C29/'Financial Statements'!B29,0)</f>
        <v>1</v>
      </c>
      <c r="L28" s="35">
        <f>IFERROR('Financial Statements'!D29/'Financial Statements'!B29,0)</f>
        <v>1</v>
      </c>
      <c r="M28" s="35">
        <f>IFERROR('Financial Statements'!E29/'Financial Statements'!B29,0)</f>
        <v>1.0657600135040886</v>
      </c>
    </row>
    <row r="29" spans="1:13" ht="16.5" customHeight="1" x14ac:dyDescent="0.35">
      <c r="A29" s="41" t="s">
        <v>32</v>
      </c>
      <c r="B29" s="42">
        <f>'Financial Statements'!B30</f>
        <v>3384904</v>
      </c>
      <c r="C29" s="34">
        <f>IFERROR('Financial Statements'!B30/'Financial Statements'!B26,0)</f>
        <v>2.1044813543570247E-2</v>
      </c>
      <c r="D29" s="42">
        <f>'Financial Statements'!C30</f>
        <v>3384904</v>
      </c>
      <c r="E29" s="34">
        <f>IFERROR('Financial Statements'!C30/'Financial Statements'!C26,0)</f>
        <v>1.9840926938125208E-2</v>
      </c>
      <c r="F29" s="42">
        <f>'Financial Statements'!D30</f>
        <v>3384904</v>
      </c>
      <c r="G29" s="34">
        <f>IFERROR('Financial Statements'!D30/'Financial Statements'!D26,0)</f>
        <v>1.6997666312407178E-2</v>
      </c>
      <c r="H29" s="39"/>
      <c r="I29" s="41" t="s">
        <v>32</v>
      </c>
      <c r="J29" s="40">
        <f>IFERROR('Financial Statements'!B30/'Financial Statements'!B30,0)</f>
        <v>1</v>
      </c>
      <c r="K29" s="34">
        <f>IFERROR('Financial Statements'!C30/'Financial Statements'!B30,0)</f>
        <v>1</v>
      </c>
      <c r="L29" s="34">
        <f>IFERROR('Financial Statements'!D30/'Financial Statements'!B30,0)</f>
        <v>1</v>
      </c>
      <c r="M29" s="34">
        <f>IFERROR('Financial Statements'!E30/'Financial Statements'!B30,0)</f>
        <v>13.185230363992599</v>
      </c>
    </row>
    <row r="30" spans="1:13" ht="16.5" customHeight="1" x14ac:dyDescent="0.35">
      <c r="A30" s="37" t="s">
        <v>33</v>
      </c>
      <c r="B30" s="38">
        <f>'Financial Statements'!B31</f>
        <v>0</v>
      </c>
      <c r="C30" s="35">
        <f>IFERROR('Financial Statements'!B31/'Financial Statements'!B26,0)</f>
        <v>0</v>
      </c>
      <c r="D30" s="38">
        <f>'Financial Statements'!C31</f>
        <v>0</v>
      </c>
      <c r="E30" s="35">
        <f>IFERROR('Financial Statements'!C31/'Financial Statements'!C26,0)</f>
        <v>0</v>
      </c>
      <c r="F30" s="38">
        <f>'Financial Statements'!D31</f>
        <v>0</v>
      </c>
      <c r="G30" s="35">
        <f>IFERROR('Financial Statements'!D31/'Financial Statements'!D26,0)</f>
        <v>0</v>
      </c>
      <c r="H30" s="39"/>
      <c r="I30" s="37" t="s">
        <v>33</v>
      </c>
      <c r="J30" s="40">
        <f>IFERROR('Financial Statements'!B31/'Financial Statements'!B31,0)</f>
        <v>0</v>
      </c>
      <c r="K30" s="35">
        <f>IFERROR('Financial Statements'!C31/'Financial Statements'!B31,0)</f>
        <v>0</v>
      </c>
      <c r="L30" s="35">
        <f>IFERROR('Financial Statements'!D31/'Financial Statements'!B31,0)</f>
        <v>0</v>
      </c>
      <c r="M30" s="35">
        <f>IFERROR('Financial Statements'!E31/'Financial Statements'!B31,0)</f>
        <v>0</v>
      </c>
    </row>
    <row r="31" spans="1:13" ht="16.5" customHeight="1" x14ac:dyDescent="0.35">
      <c r="A31" s="41" t="s">
        <v>34</v>
      </c>
      <c r="B31" s="42">
        <f>'Financial Statements'!B32</f>
        <v>-74030</v>
      </c>
      <c r="C31" s="34">
        <f>IFERROR('Financial Statements'!B32/'Financial Statements'!B26,0)</f>
        <v>-4.6026343631326192E-4</v>
      </c>
      <c r="D31" s="42">
        <f>'Financial Statements'!C32</f>
        <v>-69543</v>
      </c>
      <c r="E31" s="34">
        <f>IFERROR('Financial Statements'!C32/'Financial Statements'!C26,0)</f>
        <v>-4.0763270747354768E-4</v>
      </c>
      <c r="F31" s="42">
        <f>'Financial Statements'!D32</f>
        <v>-38205</v>
      </c>
      <c r="G31" s="34">
        <f>IFERROR('Financial Statements'!D32/'Financial Statements'!D26,0)</f>
        <v>-1.9185059353692637E-4</v>
      </c>
      <c r="H31" s="39"/>
      <c r="I31" s="41" t="s">
        <v>34</v>
      </c>
      <c r="J31" s="40">
        <f>IFERROR('Financial Statements'!B32/'Financial Statements'!B32,0)</f>
        <v>1</v>
      </c>
      <c r="K31" s="34">
        <f>IFERROR('Financial Statements'!C32/'Financial Statements'!B32,0)</f>
        <v>0.93938943671484532</v>
      </c>
      <c r="L31" s="34">
        <f>IFERROR('Financial Statements'!D32/'Financial Statements'!B32,0)</f>
        <v>0.51607456436579768</v>
      </c>
      <c r="M31" s="34">
        <f>IFERROR('Financial Statements'!E32/'Financial Statements'!B32,0)</f>
        <v>0</v>
      </c>
    </row>
    <row r="32" spans="1:13" ht="16.5" customHeight="1" x14ac:dyDescent="0.35">
      <c r="A32" s="37" t="s">
        <v>146</v>
      </c>
      <c r="B32" s="38">
        <f>'Financial Statements'!B34</f>
        <v>0</v>
      </c>
      <c r="C32" s="35">
        <f>IFERROR('Financial Statements'!B34/'Financial Statements'!B26,0)</f>
        <v>0</v>
      </c>
      <c r="D32" s="38">
        <f>'Financial Statements'!C34</f>
        <v>0</v>
      </c>
      <c r="E32" s="35">
        <f>IFERROR('Financial Statements'!C34/'Financial Statements'!C26,0)</f>
        <v>0</v>
      </c>
      <c r="F32" s="38">
        <f>'Financial Statements'!D34</f>
        <v>0</v>
      </c>
      <c r="G32" s="35">
        <f>IFERROR('Financial Statements'!D34/'Financial Statements'!D26,0)</f>
        <v>0</v>
      </c>
      <c r="H32" s="39"/>
      <c r="I32" s="37" t="s">
        <v>146</v>
      </c>
      <c r="J32" s="40">
        <f>IFERROR('Financial Statements'!B34/'Financial Statements'!B34,0)</f>
        <v>0</v>
      </c>
      <c r="K32" s="35">
        <f>IFERROR('Financial Statements'!C34/'Financial Statements'!B34,0)</f>
        <v>0</v>
      </c>
      <c r="L32" s="35">
        <f>IFERROR('Financial Statements'!D34/'Financial Statements'!B34,0)</f>
        <v>0</v>
      </c>
      <c r="M32" s="35">
        <f>IFERROR('Financial Statements'!E34/'Financial Statements'!B34,0)</f>
        <v>0</v>
      </c>
    </row>
    <row r="33" spans="1:13" ht="16.5" customHeight="1" x14ac:dyDescent="0.35">
      <c r="A33" s="41" t="s">
        <v>147</v>
      </c>
      <c r="B33" s="42">
        <f>'Financial Statements'!B35</f>
        <v>0</v>
      </c>
      <c r="C33" s="34">
        <f>IFERROR('Financial Statements'!B35/'Financial Statements'!B26,0)</f>
        <v>0</v>
      </c>
      <c r="D33" s="42">
        <f>'Financial Statements'!C35</f>
        <v>0</v>
      </c>
      <c r="E33" s="34">
        <f>IFERROR('Financial Statements'!C35/'Financial Statements'!C26,0)</f>
        <v>0</v>
      </c>
      <c r="F33" s="42">
        <f>'Financial Statements'!D35</f>
        <v>0</v>
      </c>
      <c r="G33" s="34">
        <f>IFERROR('Financial Statements'!D35/'Financial Statements'!D26,0)</f>
        <v>0</v>
      </c>
      <c r="H33" s="39"/>
      <c r="I33" s="41" t="s">
        <v>147</v>
      </c>
      <c r="J33" s="40">
        <f>IFERROR('Financial Statements'!B35/'Financial Statements'!B35,0)</f>
        <v>0</v>
      </c>
      <c r="K33" s="34">
        <f>IFERROR('Financial Statements'!C35/'Financial Statements'!B35,0)</f>
        <v>0</v>
      </c>
      <c r="L33" s="34">
        <f>IFERROR('Financial Statements'!D35/'Financial Statements'!B35,0)</f>
        <v>0</v>
      </c>
      <c r="M33" s="34">
        <f>IFERROR('Financial Statements'!E35/'Financial Statements'!B35,0)</f>
        <v>0</v>
      </c>
    </row>
    <row r="34" spans="1:13" ht="16.5" customHeight="1" x14ac:dyDescent="0.35">
      <c r="A34" s="37" t="s">
        <v>38</v>
      </c>
      <c r="B34" s="38">
        <f>'Financial Statements'!B36</f>
        <v>31238888</v>
      </c>
      <c r="C34" s="35">
        <f>IFERROR('Financial Statements'!B36/'Financial Statements'!B26,0)</f>
        <v>0.1942201531471717</v>
      </c>
      <c r="D34" s="38">
        <f>'Financial Statements'!C36</f>
        <v>30790190</v>
      </c>
      <c r="E34" s="35">
        <f>IFERROR('Financial Statements'!C36/'Financial Statements'!C26,0)</f>
        <v>0.18047953803150502</v>
      </c>
      <c r="F34" s="38">
        <f>'Financial Statements'!D36</f>
        <v>28047546</v>
      </c>
      <c r="G34" s="35">
        <f>IFERROR('Financial Statements'!D36/'Financial Statements'!D26,0)</f>
        <v>0.14084382534626999</v>
      </c>
      <c r="H34" s="39"/>
      <c r="I34" s="37" t="s">
        <v>38</v>
      </c>
      <c r="J34" s="40">
        <f>IFERROR('Financial Statements'!B36/'Financial Statements'!B36,0)</f>
        <v>1</v>
      </c>
      <c r="K34" s="35">
        <f>IFERROR('Financial Statements'!C36/'Financial Statements'!B36,0)</f>
        <v>0.98563655658933824</v>
      </c>
      <c r="L34" s="35">
        <f>IFERROR('Financial Statements'!D36/'Financial Statements'!B36,0)</f>
        <v>0.89784072979806451</v>
      </c>
      <c r="M34" s="35">
        <f>IFERROR('Financial Statements'!E36/'Financial Statements'!B36,0)</f>
        <v>5.8989471072081692</v>
      </c>
    </row>
    <row r="35" spans="1:13" ht="16.5" customHeight="1" x14ac:dyDescent="0.35">
      <c r="A35" s="41" t="s">
        <v>39</v>
      </c>
      <c r="B35" s="42">
        <f>'Financial Statements'!B37</f>
        <v>0</v>
      </c>
      <c r="C35" s="34">
        <f>IFERROR('Financial Statements'!B37/'Financial Statements'!B26,0)</f>
        <v>0</v>
      </c>
      <c r="D35" s="42">
        <f>'Financial Statements'!C37</f>
        <v>0</v>
      </c>
      <c r="E35" s="34">
        <f>IFERROR('Financial Statements'!C37/'Financial Statements'!C26,0)</f>
        <v>0</v>
      </c>
      <c r="F35" s="42">
        <f>'Financial Statements'!D37</f>
        <v>0</v>
      </c>
      <c r="G35" s="34">
        <f>IFERROR('Financial Statements'!D37/'Financial Statements'!D26,0)</f>
        <v>0</v>
      </c>
      <c r="H35" s="39"/>
      <c r="I35" s="41" t="s">
        <v>39</v>
      </c>
      <c r="J35" s="40">
        <f>IFERROR('Financial Statements'!B37/'Financial Statements'!B37,0)</f>
        <v>0</v>
      </c>
      <c r="K35" s="34">
        <f>IFERROR('Financial Statements'!C37/'Financial Statements'!B37,0)</f>
        <v>0</v>
      </c>
      <c r="L35" s="34">
        <f>IFERROR('Financial Statements'!D37/'Financial Statements'!B37,0)</f>
        <v>0</v>
      </c>
      <c r="M35" s="34">
        <f>IFERROR('Financial Statements'!E37/'Financial Statements'!B37,0)</f>
        <v>0</v>
      </c>
    </row>
    <row r="36" spans="1:13" ht="16.5" customHeight="1" x14ac:dyDescent="0.35">
      <c r="A36" s="43" t="s">
        <v>40</v>
      </c>
      <c r="B36" s="44">
        <f>'Financial Statements'!B38</f>
        <v>47902755</v>
      </c>
      <c r="C36" s="36">
        <f>IFERROR('Financial Statements'!B38/'Financial Statements'!B26,0)</f>
        <v>0.29782367452616898</v>
      </c>
      <c r="D36" s="44">
        <f>'Financial Statements'!C38</f>
        <v>47458544</v>
      </c>
      <c r="E36" s="36">
        <f>IFERROR('Financial Statements'!C38/'Financial Statements'!C26,0)</f>
        <v>0.27818263209054095</v>
      </c>
      <c r="F36" s="44">
        <f>'Financial Statements'!D38</f>
        <v>44747238</v>
      </c>
      <c r="G36" s="36">
        <f>IFERROR('Financial Statements'!D38/'Financial Statements'!D26,0)</f>
        <v>0.22470315847240166</v>
      </c>
      <c r="H36" s="39"/>
      <c r="I36" s="43" t="s">
        <v>40</v>
      </c>
      <c r="J36" s="40">
        <f>IFERROR('Financial Statements'!B38/'Financial Statements'!B38,0)</f>
        <v>1</v>
      </c>
      <c r="K36" s="36">
        <f>IFERROR('Financial Statements'!C38/'Financial Statements'!B38,0)</f>
        <v>0.9907268172780459</v>
      </c>
      <c r="L36" s="36">
        <f>IFERROR('Financial Statements'!D38/'Financial Statements'!B38,0)</f>
        <v>0.93412660712311846</v>
      </c>
      <c r="M36" s="36">
        <f>IFERROR('Financial Statements'!E38/'Financial Statements'!B38,0)</f>
        <v>5.527969153339928</v>
      </c>
    </row>
    <row r="37" spans="1:13" ht="18" customHeight="1" x14ac:dyDescent="0.35">
      <c r="A37" s="67" t="s">
        <v>41</v>
      </c>
      <c r="B37" s="67"/>
      <c r="C37" s="67"/>
      <c r="D37" s="67"/>
      <c r="E37" s="67"/>
      <c r="F37" s="67"/>
      <c r="G37" s="67"/>
      <c r="H37" s="45"/>
      <c r="I37" s="67" t="s">
        <v>41</v>
      </c>
      <c r="J37" s="67"/>
      <c r="K37" s="67"/>
      <c r="L37" s="67"/>
      <c r="M37" s="67"/>
    </row>
    <row r="38" spans="1:13" ht="16.5" customHeight="1" x14ac:dyDescent="0.35">
      <c r="A38" s="37" t="s">
        <v>42</v>
      </c>
      <c r="B38" s="38">
        <f>'Financial Statements'!B40</f>
        <v>3267427</v>
      </c>
      <c r="C38" s="35">
        <f>IFERROR('Financial Statements'!B40/'Financial Statements'!B26,0)</f>
        <v>2.0314429000712311E-2</v>
      </c>
      <c r="D38" s="38">
        <f>'Financial Statements'!C40</f>
        <v>18701703</v>
      </c>
      <c r="E38" s="35">
        <f>IFERROR('Financial Statements'!C40/'Financial Statements'!C26,0)</f>
        <v>0.10962175672973798</v>
      </c>
      <c r="F38" s="38">
        <f>'Financial Statements'!D40</f>
        <v>29445959</v>
      </c>
      <c r="G38" s="35">
        <f>IFERROR('Financial Statements'!D40/'Financial Statements'!D26,0)</f>
        <v>0.14786610944677395</v>
      </c>
      <c r="H38" s="39"/>
      <c r="I38" s="37" t="s">
        <v>42</v>
      </c>
      <c r="J38" s="40">
        <f>IFERROR('Financial Statements'!B40/'Financial Statements'!B40,0)</f>
        <v>1</v>
      </c>
      <c r="K38" s="35">
        <f>IFERROR('Financial Statements'!C40/'Financial Statements'!B40,0)</f>
        <v>5.7236789069809362</v>
      </c>
      <c r="L38" s="35">
        <f>IFERROR('Financial Statements'!D40/'Financial Statements'!B40,0)</f>
        <v>9.0119714992867479</v>
      </c>
      <c r="M38" s="35">
        <f>IFERROR('Financial Statements'!E40/'Financial Statements'!B40,0)</f>
        <v>15.552908144543091</v>
      </c>
    </row>
    <row r="39" spans="1:13" ht="16.5" customHeight="1" x14ac:dyDescent="0.35">
      <c r="A39" s="41" t="s">
        <v>43</v>
      </c>
      <c r="B39" s="42">
        <f>'Financial Statements'!B41</f>
        <v>721334</v>
      </c>
      <c r="C39" s="34">
        <f>IFERROR('Financial Statements'!B41/'Financial Statements'!B26,0)</f>
        <v>4.4847178923354105E-3</v>
      </c>
      <c r="D39" s="42">
        <f>'Financial Statements'!C41</f>
        <v>514355</v>
      </c>
      <c r="E39" s="34">
        <f>IFERROR('Financial Statements'!C41/'Financial Statements'!C26,0)</f>
        <v>3.0149392642330156E-3</v>
      </c>
      <c r="F39" s="42">
        <f>'Financial Statements'!D41</f>
        <v>342634</v>
      </c>
      <c r="G39" s="34">
        <f>IFERROR('Financial Statements'!D41/'Financial Statements'!D26,0)</f>
        <v>1.7205741726457591E-3</v>
      </c>
      <c r="H39" s="39"/>
      <c r="I39" s="41" t="s">
        <v>43</v>
      </c>
      <c r="J39" s="40">
        <f>IFERROR('Financial Statements'!B41/'Financial Statements'!B41,0)</f>
        <v>1</v>
      </c>
      <c r="K39" s="34">
        <f>IFERROR('Financial Statements'!C41/'Financial Statements'!B41,0)</f>
        <v>0.71306080123770677</v>
      </c>
      <c r="L39" s="34">
        <f>IFERROR('Financial Statements'!D41/'Financial Statements'!B41,0)</f>
        <v>0.47500048521212085</v>
      </c>
      <c r="M39" s="34">
        <f>IFERROR('Financial Statements'!E41/'Financial Statements'!B41,0)</f>
        <v>6.6851139693955924E-2</v>
      </c>
    </row>
    <row r="40" spans="1:13" ht="16.5" customHeight="1" x14ac:dyDescent="0.35">
      <c r="A40" s="37" t="s">
        <v>44</v>
      </c>
      <c r="B40" s="38">
        <f>'Financial Statements'!B42</f>
        <v>0</v>
      </c>
      <c r="C40" s="35">
        <f>IFERROR('Financial Statements'!B42/'Financial Statements'!B26,0)</f>
        <v>0</v>
      </c>
      <c r="D40" s="38">
        <f>'Financial Statements'!C42</f>
        <v>0</v>
      </c>
      <c r="E40" s="35">
        <f>IFERROR('Financial Statements'!C42/'Financial Statements'!C26,0)</f>
        <v>0</v>
      </c>
      <c r="F40" s="38">
        <f>'Financial Statements'!D42</f>
        <v>0</v>
      </c>
      <c r="G40" s="35">
        <f>IFERROR('Financial Statements'!D42/'Financial Statements'!D26,0)</f>
        <v>0</v>
      </c>
      <c r="H40" s="39"/>
      <c r="I40" s="37" t="s">
        <v>44</v>
      </c>
      <c r="J40" s="40">
        <f>IFERROR('Financial Statements'!B42/'Financial Statements'!B42,0)</f>
        <v>0</v>
      </c>
      <c r="K40" s="35">
        <f>IFERROR('Financial Statements'!C42/'Financial Statements'!B42,0)</f>
        <v>0</v>
      </c>
      <c r="L40" s="35">
        <f>IFERROR('Financial Statements'!D42/'Financial Statements'!B42,0)</f>
        <v>0</v>
      </c>
      <c r="M40" s="35">
        <f>IFERROR('Financial Statements'!E42/'Financial Statements'!B42,0)</f>
        <v>0</v>
      </c>
    </row>
    <row r="41" spans="1:13" ht="16.5" customHeight="1" x14ac:dyDescent="0.35">
      <c r="A41" s="41" t="s">
        <v>45</v>
      </c>
      <c r="B41" s="42">
        <f>'Financial Statements'!B43</f>
        <v>10401710</v>
      </c>
      <c r="C41" s="34">
        <f>IFERROR('Financial Statements'!B43/'Financial Statements'!B26,0)</f>
        <v>6.4670090343563677E-2</v>
      </c>
      <c r="D41" s="42">
        <f>'Financial Statements'!C43</f>
        <v>672844</v>
      </c>
      <c r="E41" s="34">
        <f>IFERROR('Financial Statements'!C43/'Financial Statements'!C26,0)</f>
        <v>3.9439371529461156E-3</v>
      </c>
      <c r="F41" s="42">
        <f>'Financial Statements'!D43</f>
        <v>0</v>
      </c>
      <c r="G41" s="34">
        <f>IFERROR('Financial Statements'!D43/'Financial Statements'!D26,0)</f>
        <v>0</v>
      </c>
      <c r="H41" s="39"/>
      <c r="I41" s="41" t="s">
        <v>45</v>
      </c>
      <c r="J41" s="40">
        <f>IFERROR('Financial Statements'!B43/'Financial Statements'!B43,0)</f>
        <v>1</v>
      </c>
      <c r="K41" s="34">
        <f>IFERROR('Financial Statements'!C43/'Financial Statements'!B43,0)</f>
        <v>6.4685902606398366E-2</v>
      </c>
      <c r="L41" s="34">
        <f>IFERROR('Financial Statements'!D43/'Financial Statements'!B43,0)</f>
        <v>0</v>
      </c>
      <c r="M41" s="34">
        <f>IFERROR('Financial Statements'!E43/'Financial Statements'!B43,0)</f>
        <v>3.4542574249810847</v>
      </c>
    </row>
    <row r="42" spans="1:13" ht="16.5" customHeight="1" x14ac:dyDescent="0.35">
      <c r="A42" s="37" t="s">
        <v>46</v>
      </c>
      <c r="B42" s="38">
        <f>'Financial Statements'!B44</f>
        <v>236702</v>
      </c>
      <c r="C42" s="35">
        <f>IFERROR('Financial Statements'!B44/'Financial Statements'!B26,0)</f>
        <v>1.471636848604913E-3</v>
      </c>
      <c r="D42" s="38">
        <f>'Financial Statements'!C44</f>
        <v>247520</v>
      </c>
      <c r="E42" s="35">
        <f>IFERROR('Financial Statements'!C44/'Financial Statements'!C26,0)</f>
        <v>1.4508613052910072E-3</v>
      </c>
      <c r="F42" s="38">
        <f>'Financial Statements'!D44</f>
        <v>34464</v>
      </c>
      <c r="G42" s="35">
        <f>IFERROR('Financial Statements'!D44/'Financial Statements'!D26,0)</f>
        <v>1.7306475214387201E-4</v>
      </c>
      <c r="H42" s="39"/>
      <c r="I42" s="37" t="s">
        <v>46</v>
      </c>
      <c r="J42" s="40">
        <f>IFERROR('Financial Statements'!B44/'Financial Statements'!B44,0)</f>
        <v>1</v>
      </c>
      <c r="K42" s="35">
        <f>IFERROR('Financial Statements'!C44/'Financial Statements'!B44,0)</f>
        <v>1.0457030358847834</v>
      </c>
      <c r="L42" s="35">
        <f>IFERROR('Financial Statements'!D44/'Financial Statements'!B44,0)</f>
        <v>0.14560079762739647</v>
      </c>
      <c r="M42" s="35">
        <f>IFERROR('Financial Statements'!E44/'Financial Statements'!B44,0)</f>
        <v>14.357939518888729</v>
      </c>
    </row>
    <row r="43" spans="1:13" ht="16.5" customHeight="1" x14ac:dyDescent="0.35">
      <c r="A43" s="43" t="s">
        <v>47</v>
      </c>
      <c r="B43" s="44">
        <f>'Financial Statements'!B45</f>
        <v>14627173</v>
      </c>
      <c r="C43" s="36">
        <f>IFERROR('Financial Statements'!B45/'Financial Statements'!B26,0)</f>
        <v>9.0940874085216311E-2</v>
      </c>
      <c r="D43" s="44">
        <f>'Financial Statements'!C45</f>
        <v>20136422</v>
      </c>
      <c r="E43" s="36">
        <f>IFERROR('Financial Statements'!C45/'Financial Statements'!C26,0)</f>
        <v>0.11803149445220812</v>
      </c>
      <c r="F43" s="44">
        <f>'Financial Statements'!D45</f>
        <v>29823057</v>
      </c>
      <c r="G43" s="36">
        <f>IFERROR('Financial Statements'!D45/'Financial Statements'!D26,0)</f>
        <v>0.14975974837156358</v>
      </c>
      <c r="H43" s="39"/>
      <c r="I43" s="43" t="s">
        <v>47</v>
      </c>
      <c r="J43" s="40">
        <f>IFERROR('Financial Statements'!B45/'Financial Statements'!B45,0)</f>
        <v>1</v>
      </c>
      <c r="K43" s="36">
        <f>IFERROR('Financial Statements'!C45/'Financial Statements'!B45,0)</f>
        <v>1.3766448239861524</v>
      </c>
      <c r="L43" s="36">
        <f>IFERROR('Financial Statements'!D45/'Financial Statements'!B45,0)</f>
        <v>2.0388804453191329</v>
      </c>
      <c r="M43" s="36">
        <f>IFERROR('Financial Statements'!E45/'Financial Statements'!B45,0)</f>
        <v>6.193369149322292</v>
      </c>
    </row>
    <row r="44" spans="1:13" ht="18" customHeight="1" x14ac:dyDescent="0.35">
      <c r="A44" s="67" t="s">
        <v>48</v>
      </c>
      <c r="B44" s="67"/>
      <c r="C44" s="67"/>
      <c r="D44" s="67"/>
      <c r="E44" s="67"/>
      <c r="F44" s="67"/>
      <c r="G44" s="67"/>
      <c r="H44" s="45"/>
      <c r="I44" s="67" t="s">
        <v>48</v>
      </c>
      <c r="J44" s="67"/>
      <c r="K44" s="67"/>
      <c r="L44" s="67"/>
      <c r="M44" s="67"/>
    </row>
    <row r="45" spans="1:13" ht="16.5" customHeight="1" x14ac:dyDescent="0.35">
      <c r="A45" s="41" t="s">
        <v>49</v>
      </c>
      <c r="B45" s="42">
        <f>'Financial Statements'!B47</f>
        <v>74095829</v>
      </c>
      <c r="C45" s="34">
        <f>IFERROR('Financial Statements'!B47/'Financial Statements'!B26,0)</f>
        <v>0.4606727120359293</v>
      </c>
      <c r="D45" s="42">
        <f>'Financial Statements'!C47</f>
        <v>66606267</v>
      </c>
      <c r="E45" s="34">
        <f>IFERROR('Financial Statements'!C47/'Financial Statements'!C26,0)</f>
        <v>0.3904187761804353</v>
      </c>
      <c r="F45" s="42">
        <f>'Financial Statements'!D47</f>
        <v>65699202</v>
      </c>
      <c r="G45" s="34">
        <f>IFERROR('Financial Statements'!D47/'Financial Statements'!D26,0)</f>
        <v>0.32991574135852425</v>
      </c>
      <c r="H45" s="39"/>
      <c r="I45" s="41" t="s">
        <v>49</v>
      </c>
      <c r="J45" s="40">
        <f>IFERROR('Financial Statements'!B47/'Financial Statements'!B47,0)</f>
        <v>1</v>
      </c>
      <c r="K45" s="34">
        <f>IFERROR('Financial Statements'!C47/'Financial Statements'!B47,0)</f>
        <v>0.89892059916085154</v>
      </c>
      <c r="L45" s="34">
        <f>IFERROR('Financial Statements'!D47/'Financial Statements'!B47,0)</f>
        <v>0.88667881696822637</v>
      </c>
      <c r="M45" s="34">
        <f>IFERROR('Financial Statements'!E47/'Financial Statements'!B47,0)</f>
        <v>2.7921484757259414</v>
      </c>
    </row>
    <row r="46" spans="1:13" ht="16.5" customHeight="1" x14ac:dyDescent="0.35">
      <c r="A46" s="37" t="s">
        <v>148</v>
      </c>
      <c r="B46" s="38">
        <f>'Financial Statements'!B48</f>
        <v>0</v>
      </c>
      <c r="C46" s="35">
        <f>IFERROR('Financial Statements'!B48/'Financial Statements'!B26,0)</f>
        <v>0</v>
      </c>
      <c r="D46" s="38">
        <f>'Financial Statements'!C48</f>
        <v>0</v>
      </c>
      <c r="E46" s="35">
        <f>IFERROR('Financial Statements'!C48/'Financial Statements'!C26,0)</f>
        <v>0</v>
      </c>
      <c r="F46" s="38">
        <f>'Financial Statements'!D48</f>
        <v>0</v>
      </c>
      <c r="G46" s="35">
        <f>IFERROR('Financial Statements'!D48/'Financial Statements'!D26,0)</f>
        <v>0</v>
      </c>
      <c r="H46" s="39"/>
      <c r="I46" s="37" t="s">
        <v>148</v>
      </c>
      <c r="J46" s="40">
        <f>IFERROR('Financial Statements'!B48/'Financial Statements'!B48,0)</f>
        <v>0</v>
      </c>
      <c r="K46" s="35">
        <f>IFERROR('Financial Statements'!C48/'Financial Statements'!B48,0)</f>
        <v>0</v>
      </c>
      <c r="L46" s="35">
        <f>IFERROR('Financial Statements'!D48/'Financial Statements'!B48,0)</f>
        <v>0</v>
      </c>
      <c r="M46" s="35">
        <f>IFERROR('Financial Statements'!E48/'Financial Statements'!B48,0)</f>
        <v>0</v>
      </c>
    </row>
    <row r="47" spans="1:13" ht="16.5" customHeight="1" x14ac:dyDescent="0.35">
      <c r="A47" s="41" t="s">
        <v>149</v>
      </c>
      <c r="B47" s="42">
        <f>'Financial Statements'!B49</f>
        <v>0</v>
      </c>
      <c r="C47" s="34">
        <f>IFERROR('Financial Statements'!B49/'Financial Statements'!B26,0)</f>
        <v>0</v>
      </c>
      <c r="D47" s="42">
        <f>'Financial Statements'!C49</f>
        <v>0</v>
      </c>
      <c r="E47" s="34">
        <f>IFERROR('Financial Statements'!C49/'Financial Statements'!C26,0)</f>
        <v>0</v>
      </c>
      <c r="F47" s="42">
        <f>'Financial Statements'!D49</f>
        <v>0</v>
      </c>
      <c r="G47" s="34">
        <f>IFERROR('Financial Statements'!D49/'Financial Statements'!D26,0)</f>
        <v>0</v>
      </c>
      <c r="H47" s="39"/>
      <c r="I47" s="41" t="s">
        <v>149</v>
      </c>
      <c r="J47" s="40">
        <f>IFERROR('Financial Statements'!B49/'Financial Statements'!B49,0)</f>
        <v>0</v>
      </c>
      <c r="K47" s="34">
        <f>IFERROR('Financial Statements'!C49/'Financial Statements'!B49,0)</f>
        <v>0</v>
      </c>
      <c r="L47" s="34">
        <f>IFERROR('Financial Statements'!D49/'Financial Statements'!B49,0)</f>
        <v>0</v>
      </c>
      <c r="M47" s="34">
        <f>IFERROR('Financial Statements'!E49/'Financial Statements'!B49,0)</f>
        <v>0</v>
      </c>
    </row>
    <row r="48" spans="1:13" ht="16.5" customHeight="1" x14ac:dyDescent="0.35">
      <c r="A48" s="37" t="s">
        <v>52</v>
      </c>
      <c r="B48" s="38">
        <f>'Financial Statements'!B50</f>
        <v>3013315</v>
      </c>
      <c r="C48" s="35">
        <f>IFERROR('Financial Statements'!B50/'Financial Statements'!B26,0)</f>
        <v>1.8734549731113017E-2</v>
      </c>
      <c r="D48" s="38">
        <f>'Financial Statements'!C50</f>
        <v>3099301</v>
      </c>
      <c r="E48" s="35">
        <f>IFERROR('Financial Statements'!C50/'Financial Statements'!C26,0)</f>
        <v>1.8166838616474321E-2</v>
      </c>
      <c r="F48" s="38">
        <f>'Financial Statements'!D50</f>
        <v>14735744</v>
      </c>
      <c r="G48" s="35">
        <f>IFERROR('Financial Statements'!D50/'Financial Statements'!D26,0)</f>
        <v>7.3997153058714862E-2</v>
      </c>
      <c r="H48" s="39"/>
      <c r="I48" s="37" t="s">
        <v>52</v>
      </c>
      <c r="J48" s="40">
        <f>IFERROR('Financial Statements'!B50/'Financial Statements'!B50,0)</f>
        <v>1</v>
      </c>
      <c r="K48" s="35">
        <f>IFERROR('Financial Statements'!C50/'Financial Statements'!B50,0)</f>
        <v>1.0285353506022437</v>
      </c>
      <c r="L48" s="35">
        <f>IFERROR('Financial Statements'!D50/'Financial Statements'!B50,0)</f>
        <v>4.8902102833590249</v>
      </c>
      <c r="M48" s="35">
        <f>IFERROR('Financial Statements'!E50/'Financial Statements'!B50,0)</f>
        <v>3.8617545792590553</v>
      </c>
    </row>
    <row r="49" spans="1:13" ht="16.5" customHeight="1" x14ac:dyDescent="0.35">
      <c r="A49" s="41" t="s">
        <v>53</v>
      </c>
      <c r="B49" s="42">
        <f>'Financial Statements'!B51</f>
        <v>530110</v>
      </c>
      <c r="C49" s="34">
        <f>IFERROR('Financial Statements'!B51/'Financial Statements'!B26,0)</f>
        <v>3.2958293965152405E-3</v>
      </c>
      <c r="D49" s="42">
        <f>'Financial Statements'!C51</f>
        <v>12451850</v>
      </c>
      <c r="E49" s="34">
        <f>IFERROR('Financial Statements'!C51/'Financial Statements'!C26,0)</f>
        <v>7.2987667034129886E-2</v>
      </c>
      <c r="F49" s="42">
        <f>'Financial Statements'!D51</f>
        <v>23022723</v>
      </c>
      <c r="G49" s="34">
        <f>IFERROR('Financial Statements'!D51/'Financial Statements'!D26,0)</f>
        <v>0.11561112609308326</v>
      </c>
      <c r="H49" s="39"/>
      <c r="I49" s="41" t="s">
        <v>53</v>
      </c>
      <c r="J49" s="40">
        <f>IFERROR('Financial Statements'!B51/'Financial Statements'!B51,0)</f>
        <v>1</v>
      </c>
      <c r="K49" s="34">
        <f>IFERROR('Financial Statements'!C51/'Financial Statements'!B51,0)</f>
        <v>23.489181490634021</v>
      </c>
      <c r="L49" s="34">
        <f>IFERROR('Financial Statements'!D51/'Financial Statements'!B51,0)</f>
        <v>43.430086208522759</v>
      </c>
      <c r="M49" s="34">
        <f>IFERROR('Financial Statements'!E51/'Financial Statements'!B51,0)</f>
        <v>41.519069627058535</v>
      </c>
    </row>
    <row r="50" spans="1:13" ht="16.5" customHeight="1" x14ac:dyDescent="0.35">
      <c r="A50" s="37" t="s">
        <v>54</v>
      </c>
      <c r="B50" s="38">
        <f>'Financial Statements'!B52</f>
        <v>19558031</v>
      </c>
      <c r="C50" s="35">
        <f>IFERROR('Financial Statements'!B52/'Financial Statements'!B26,0)</f>
        <v>0.12159727888128194</v>
      </c>
      <c r="D50" s="38">
        <f>'Financial Statements'!C52</f>
        <v>19558031</v>
      </c>
      <c r="E50" s="35">
        <f>IFERROR('Financial Statements'!C52/'Financial Statements'!C26,0)</f>
        <v>0.11464120226883477</v>
      </c>
      <c r="F50" s="38">
        <f>'Financial Statements'!D52</f>
        <v>19558031</v>
      </c>
      <c r="G50" s="35">
        <f>IFERROR('Financial Statements'!D52/'Financial Statements'!D26,0)</f>
        <v>9.8212795596482272E-2</v>
      </c>
      <c r="H50" s="39"/>
      <c r="I50" s="37" t="s">
        <v>54</v>
      </c>
      <c r="J50" s="40">
        <f>IFERROR('Financial Statements'!B52/'Financial Statements'!B52,0)</f>
        <v>1</v>
      </c>
      <c r="K50" s="35">
        <f>IFERROR('Financial Statements'!C52/'Financial Statements'!B52,0)</f>
        <v>1</v>
      </c>
      <c r="L50" s="35">
        <f>IFERROR('Financial Statements'!D52/'Financial Statements'!B52,0)</f>
        <v>1</v>
      </c>
      <c r="M50" s="35">
        <f>IFERROR('Financial Statements'!E52/'Financial Statements'!B52,0)</f>
        <v>0</v>
      </c>
    </row>
    <row r="51" spans="1:13" ht="16.5" customHeight="1" x14ac:dyDescent="0.35">
      <c r="A51" s="41" t="s">
        <v>150</v>
      </c>
      <c r="B51" s="42">
        <f>'Financial Statements'!B53</f>
        <v>994344</v>
      </c>
      <c r="C51" s="34">
        <f>IFERROR('Financial Statements'!B53/'Financial Statements'!B26,0)</f>
        <v>6.1820908593472118E-3</v>
      </c>
      <c r="D51" s="42">
        <f>'Financial Statements'!C53</f>
        <v>0</v>
      </c>
      <c r="E51" s="34">
        <f>IFERROR('Financial Statements'!C53/'Financial Statements'!C26,0)</f>
        <v>0</v>
      </c>
      <c r="F51" s="42">
        <f>'Financial Statements'!D53</f>
        <v>0</v>
      </c>
      <c r="G51" s="34">
        <f>IFERROR('Financial Statements'!D53/'Financial Statements'!D26,0)</f>
        <v>0</v>
      </c>
      <c r="H51" s="39"/>
      <c r="I51" s="41" t="s">
        <v>150</v>
      </c>
      <c r="J51" s="40">
        <f>IFERROR('Financial Statements'!B53/'Financial Statements'!B53,0)</f>
        <v>1</v>
      </c>
      <c r="K51" s="34">
        <f>IFERROR('Financial Statements'!C53/'Financial Statements'!B53,0)</f>
        <v>0</v>
      </c>
      <c r="L51" s="34">
        <f>IFERROR('Financial Statements'!D53/'Financial Statements'!B53,0)</f>
        <v>0</v>
      </c>
      <c r="M51" s="34">
        <f>IFERROR('Financial Statements'!E53/'Financial Statements'!B53,0)</f>
        <v>0</v>
      </c>
    </row>
    <row r="52" spans="1:13" ht="16.5" customHeight="1" x14ac:dyDescent="0.35">
      <c r="A52" s="37" t="s">
        <v>55</v>
      </c>
      <c r="B52" s="38">
        <f>'Financial Statements'!B54</f>
        <v>72814</v>
      </c>
      <c r="C52" s="35">
        <f>IFERROR('Financial Statements'!B54/'Financial Statements'!B26,0)</f>
        <v>4.5270325343393019E-4</v>
      </c>
      <c r="D52" s="38">
        <f>'Financial Statements'!C54</f>
        <v>1209388</v>
      </c>
      <c r="E52" s="35">
        <f>IFERROR('Financial Statements'!C54/'Financial Statements'!C26,0)</f>
        <v>7.0889392868587614E-3</v>
      </c>
      <c r="F52" s="38">
        <f>'Financial Statements'!D54</f>
        <v>1434310</v>
      </c>
      <c r="G52" s="35">
        <f>IFERROR('Financial Statements'!D54/'Financial Statements'!D26,0)</f>
        <v>7.2025448191584572E-3</v>
      </c>
      <c r="H52" s="39"/>
      <c r="I52" s="37" t="s">
        <v>55</v>
      </c>
      <c r="J52" s="40">
        <f>IFERROR('Financial Statements'!B54/'Financial Statements'!B54,0)</f>
        <v>1</v>
      </c>
      <c r="K52" s="35">
        <f>IFERROR('Financial Statements'!C54/'Financial Statements'!B54,0)</f>
        <v>16.609278435465708</v>
      </c>
      <c r="L52" s="35">
        <f>IFERROR('Financial Statements'!D54/'Financial Statements'!B54,0)</f>
        <v>19.698272310270003</v>
      </c>
      <c r="M52" s="35">
        <f>IFERROR('Financial Statements'!E54/'Financial Statements'!B54,0)</f>
        <v>13.562446782212213</v>
      </c>
    </row>
    <row r="53" spans="1:13" ht="16.5" customHeight="1" x14ac:dyDescent="0.35">
      <c r="A53" s="41" t="s">
        <v>151</v>
      </c>
      <c r="B53" s="42">
        <f>'Financial Statements'!B55</f>
        <v>48299</v>
      </c>
      <c r="C53" s="34">
        <f>IFERROR('Financial Statements'!B55/'Financial Statements'!B26,0)</f>
        <v>3.002872309941137E-4</v>
      </c>
      <c r="D53" s="42">
        <f>'Financial Statements'!C55</f>
        <v>82307</v>
      </c>
      <c r="E53" s="34">
        <f>IFERROR('Financial Statements'!C55/'Financial Statements'!C26,0)</f>
        <v>4.8245007051788514E-4</v>
      </c>
      <c r="F53" s="42">
        <f>'Financial Statements'!D55</f>
        <v>145770</v>
      </c>
      <c r="G53" s="34">
        <f>IFERROR('Financial Statements'!D55/'Financial Statements'!D26,0)</f>
        <v>7.3200002669487646E-4</v>
      </c>
      <c r="H53" s="39"/>
      <c r="I53" s="41" t="s">
        <v>151</v>
      </c>
      <c r="J53" s="40">
        <f>IFERROR('Financial Statements'!B55/'Financial Statements'!B55,0)</f>
        <v>1</v>
      </c>
      <c r="K53" s="34">
        <f>IFERROR('Financial Statements'!C55/'Financial Statements'!B55,0)</f>
        <v>1.7041139568107</v>
      </c>
      <c r="L53" s="34">
        <f>IFERROR('Financial Statements'!D55/'Financial Statements'!B55,0)</f>
        <v>3.0180749083831961</v>
      </c>
      <c r="M53" s="34">
        <f>IFERROR('Financial Statements'!E55/'Financial Statements'!B55,0)</f>
        <v>336.45820824447713</v>
      </c>
    </row>
    <row r="54" spans="1:13" ht="16.5" customHeight="1" x14ac:dyDescent="0.35">
      <c r="A54" s="43" t="s">
        <v>57</v>
      </c>
      <c r="B54" s="44">
        <f>'Financial Statements'!B56</f>
        <v>98312742</v>
      </c>
      <c r="C54" s="36">
        <f>IFERROR('Financial Statements'!B56/'Financial Statements'!B26,0)</f>
        <v>0.61123545138861468</v>
      </c>
      <c r="D54" s="44">
        <f>'Financial Statements'!C56</f>
        <v>103007144</v>
      </c>
      <c r="E54" s="36">
        <f>IFERROR('Financial Statements'!C56/'Financial Statements'!C26,0)</f>
        <v>0.60378587345725088</v>
      </c>
      <c r="F54" s="44">
        <f>'Financial Statements'!D56</f>
        <v>124595780</v>
      </c>
      <c r="G54" s="36">
        <f>IFERROR('Financial Statements'!D56/'Financial Statements'!D26,0)</f>
        <v>0.62567136095265796</v>
      </c>
      <c r="H54" s="39"/>
      <c r="I54" s="43" t="s">
        <v>57</v>
      </c>
      <c r="J54" s="40">
        <f>IFERROR('Financial Statements'!B56/'Financial Statements'!B56,0)</f>
        <v>1</v>
      </c>
      <c r="K54" s="36">
        <f>IFERROR('Financial Statements'!C56/'Financial Statements'!B56,0)</f>
        <v>1.0477496803008506</v>
      </c>
      <c r="L54" s="36">
        <f>IFERROR('Financial Statements'!D56/'Financial Statements'!B56,0)</f>
        <v>1.2673411143389735</v>
      </c>
      <c r="M54" s="36">
        <f>IFERROR('Financial Statements'!E56/'Financial Statements'!B56,0)</f>
        <v>2.6232787607531076</v>
      </c>
    </row>
    <row r="55" spans="1:13" ht="16.5" customHeight="1" x14ac:dyDescent="0.35">
      <c r="A55" s="46" t="s">
        <v>58</v>
      </c>
      <c r="B55" s="44">
        <f>'Financial Statements'!B57</f>
        <v>112939915</v>
      </c>
      <c r="C55" s="36">
        <f>IFERROR('Financial Statements'!B57/'Financial Statements'!B26,0)</f>
        <v>0.70217632547383102</v>
      </c>
      <c r="D55" s="44">
        <f>'Financial Statements'!C57</f>
        <v>123143566</v>
      </c>
      <c r="E55" s="36">
        <f>IFERROR('Financial Statements'!C57/'Financial Statements'!C26,0)</f>
        <v>0.72181736790945905</v>
      </c>
      <c r="F55" s="44">
        <f>'Financial Statements'!D57</f>
        <v>154418837</v>
      </c>
      <c r="G55" s="36">
        <f>IFERROR('Financial Statements'!D57/'Financial Statements'!D26,0)</f>
        <v>0.77543110932422155</v>
      </c>
      <c r="H55" s="39"/>
      <c r="I55" s="46" t="s">
        <v>58</v>
      </c>
      <c r="J55" s="40">
        <f>IFERROR('Financial Statements'!B57/'Financial Statements'!B57,0)</f>
        <v>1</v>
      </c>
      <c r="K55" s="36">
        <f>IFERROR('Financial Statements'!C57/'Financial Statements'!B57,0)</f>
        <v>1.0903458356596072</v>
      </c>
      <c r="L55" s="36">
        <f>IFERROR('Financial Statements'!D57/'Financial Statements'!B57,0)</f>
        <v>1.3672653906282823</v>
      </c>
      <c r="M55" s="36">
        <f>IFERROR('Financial Statements'!E57/'Financial Statements'!B57,0)</f>
        <v>3.0856514280181635</v>
      </c>
    </row>
    <row r="56" spans="1:13" ht="16.5" customHeight="1" x14ac:dyDescent="0.35">
      <c r="A56" s="46" t="s">
        <v>59</v>
      </c>
      <c r="B56" s="44">
        <f>'Financial Statements'!B58</f>
        <v>160842670</v>
      </c>
      <c r="C56" s="36">
        <f>IFERROR('Financial Statements'!B58/'Financial Statements'!B26,0)</f>
        <v>1</v>
      </c>
      <c r="D56" s="44">
        <f>'Financial Statements'!C58</f>
        <v>170602110</v>
      </c>
      <c r="E56" s="36">
        <f>IFERROR('Financial Statements'!C58/'Financial Statements'!C26,0)</f>
        <v>1</v>
      </c>
      <c r="F56" s="44">
        <f>'Financial Statements'!D58</f>
        <v>199166075</v>
      </c>
      <c r="G56" s="36">
        <f>IFERROR('Financial Statements'!D58/'Financial Statements'!D26,0)</f>
        <v>1.0001342677966232</v>
      </c>
      <c r="H56" s="39"/>
      <c r="I56" s="46" t="s">
        <v>59</v>
      </c>
      <c r="J56" s="40">
        <f>IFERROR('Financial Statements'!B58/'Financial Statements'!B58,0)</f>
        <v>1</v>
      </c>
      <c r="K56" s="36">
        <f>IFERROR('Financial Statements'!C58/'Financial Statements'!B58,0)</f>
        <v>1.0606769335525206</v>
      </c>
      <c r="L56" s="36">
        <f>IFERROR('Financial Statements'!D58/'Financial Statements'!B58,0)</f>
        <v>1.2382664065449795</v>
      </c>
      <c r="M56" s="36">
        <f>IFERROR('Financial Statements'!E58/'Financial Statements'!B58,0)</f>
        <v>3.8130314673338859</v>
      </c>
    </row>
    <row r="57" spans="1:13" ht="12" customHeight="1" x14ac:dyDescent="0.35">
      <c r="A57" s="39"/>
      <c r="B57" s="39"/>
      <c r="C57" s="39"/>
      <c r="D57" s="39"/>
      <c r="E57" s="39"/>
      <c r="F57" s="39"/>
      <c r="G57" s="39"/>
      <c r="H57" s="39"/>
      <c r="I57" s="39"/>
      <c r="J57" s="39"/>
      <c r="K57" s="39"/>
      <c r="L57" s="39"/>
      <c r="M57" s="39"/>
    </row>
    <row r="58" spans="1:13" ht="27.75" customHeight="1" x14ac:dyDescent="0.35">
      <c r="A58" s="66" t="s">
        <v>152</v>
      </c>
      <c r="B58" s="66"/>
      <c r="C58" s="66"/>
      <c r="D58" s="66"/>
      <c r="E58" s="66"/>
      <c r="F58" s="66"/>
      <c r="G58" s="66"/>
      <c r="H58" s="45"/>
      <c r="I58" s="66" t="s">
        <v>152</v>
      </c>
      <c r="J58" s="66"/>
      <c r="K58" s="66"/>
      <c r="L58" s="66"/>
      <c r="M58" s="66"/>
    </row>
    <row r="59" spans="1:13" ht="36" customHeight="1" x14ac:dyDescent="0.35">
      <c r="A59" s="47" t="s">
        <v>2</v>
      </c>
      <c r="B59" s="47" t="s">
        <v>131</v>
      </c>
      <c r="C59" s="47" t="s">
        <v>132</v>
      </c>
      <c r="D59" s="47" t="s">
        <v>133</v>
      </c>
      <c r="E59" s="47" t="s">
        <v>134</v>
      </c>
      <c r="F59" s="47" t="s">
        <v>135</v>
      </c>
      <c r="G59" s="47" t="s">
        <v>136</v>
      </c>
      <c r="H59" s="39"/>
      <c r="I59" s="47" t="s">
        <v>2</v>
      </c>
      <c r="J59" s="48" t="s">
        <v>137</v>
      </c>
      <c r="K59" s="48" t="s">
        <v>138</v>
      </c>
      <c r="L59" s="48" t="s">
        <v>139</v>
      </c>
      <c r="M59" s="49" t="s">
        <v>140</v>
      </c>
    </row>
    <row r="60" spans="1:13" ht="16.5" customHeight="1" x14ac:dyDescent="0.35">
      <c r="A60" s="46" t="s">
        <v>153</v>
      </c>
      <c r="B60" s="44">
        <f>'Financial Statements'!B63</f>
        <v>223704592</v>
      </c>
      <c r="C60" s="36">
        <f>IFERROR('Financial Statements'!B63/'Financial Statements'!B63,0)</f>
        <v>1</v>
      </c>
      <c r="D60" s="44">
        <f>'Financial Statements'!C63</f>
        <v>256675163</v>
      </c>
      <c r="E60" s="36">
        <f>IFERROR('Financial Statements'!C63/'Financial Statements'!C63,0)</f>
        <v>1</v>
      </c>
      <c r="F60" s="44">
        <f>'Financial Statements'!D63</f>
        <v>237130786</v>
      </c>
      <c r="G60" s="36">
        <f>IFERROR('Financial Statements'!D63/'Financial Statements'!D63,0)</f>
        <v>1</v>
      </c>
      <c r="H60" s="39"/>
      <c r="I60" s="46" t="s">
        <v>153</v>
      </c>
      <c r="J60" s="40">
        <f>IFERROR('Financial Statements'!B63/'Financial Statements'!B63,0)</f>
        <v>1</v>
      </c>
      <c r="K60" s="36">
        <f>IFERROR('Financial Statements'!C63/'Financial Statements'!B63,0)</f>
        <v>1.1473844175715446</v>
      </c>
      <c r="L60" s="36">
        <f>IFERROR('Financial Statements'!D63/'Financial Statements'!B63,0)</f>
        <v>1.0600175163145511</v>
      </c>
      <c r="M60" s="36">
        <f>IFERROR('Financial Statements'!E63/'Financial Statements'!B63,0)</f>
        <v>2.1627073260972667</v>
      </c>
    </row>
    <row r="61" spans="1:13" ht="16.5" customHeight="1" x14ac:dyDescent="0.35">
      <c r="A61" s="50" t="s">
        <v>63</v>
      </c>
      <c r="B61" s="42">
        <f>'Financial Statements'!B64</f>
        <v>151407364</v>
      </c>
      <c r="C61" s="34">
        <f>IFERROR('Financial Statements'!B64/'Financial Statements'!B63,0)</f>
        <v>0.67681831046186125</v>
      </c>
      <c r="D61" s="42">
        <f>'Financial Statements'!C64</f>
        <v>184390517</v>
      </c>
      <c r="E61" s="34">
        <f>IFERROR('Financial Statements'!C64/'Financial Statements'!C63,0)</f>
        <v>0.71838083141686759</v>
      </c>
      <c r="F61" s="42">
        <f>'Financial Statements'!D64</f>
        <v>164577790</v>
      </c>
      <c r="G61" s="34">
        <f>IFERROR('Financial Statements'!D64/'Financial Statements'!D63,0)</f>
        <v>0.69403805712515121</v>
      </c>
      <c r="H61" s="39"/>
      <c r="I61" s="50" t="s">
        <v>63</v>
      </c>
      <c r="J61" s="40">
        <f>IFERROR('Financial Statements'!B64/'Financial Statements'!B64,0)</f>
        <v>1</v>
      </c>
      <c r="K61" s="34">
        <f>IFERROR('Financial Statements'!C64/'Financial Statements'!B64,0)</f>
        <v>1.2178437833446463</v>
      </c>
      <c r="L61" s="34">
        <f>IFERROR('Financial Statements'!D64/'Financial Statements'!B64,0)</f>
        <v>1.086986693725148</v>
      </c>
      <c r="M61" s="34">
        <f>IFERROR('Financial Statements'!E64/'Financial Statements'!B64,0)</f>
        <v>2.2120984155037533</v>
      </c>
    </row>
    <row r="62" spans="1:13" ht="16.5" customHeight="1" x14ac:dyDescent="0.35">
      <c r="A62" s="46" t="s">
        <v>64</v>
      </c>
      <c r="B62" s="44">
        <f>'Financial Statements'!B65</f>
        <v>72297228</v>
      </c>
      <c r="C62" s="36">
        <f>IFERROR('Financial Statements'!B65/'Financial Statements'!B63,0)</f>
        <v>0.32318168953813875</v>
      </c>
      <c r="D62" s="44">
        <f>'Financial Statements'!C65</f>
        <v>72284646</v>
      </c>
      <c r="E62" s="36">
        <f>IFERROR('Financial Statements'!C65/'Financial Statements'!C63,0)</f>
        <v>0.28161916858313246</v>
      </c>
      <c r="F62" s="44">
        <f>'Financial Statements'!D65</f>
        <v>72552996</v>
      </c>
      <c r="G62" s="36">
        <f>IFERROR('Financial Statements'!D65/'Financial Statements'!D63,0)</f>
        <v>0.30596194287484879</v>
      </c>
      <c r="H62" s="39"/>
      <c r="I62" s="46" t="s">
        <v>64</v>
      </c>
      <c r="J62" s="40">
        <f>IFERROR('Financial Statements'!B65/'Financial Statements'!B65,0)</f>
        <v>1</v>
      </c>
      <c r="K62" s="36">
        <f>IFERROR('Financial Statements'!C65/'Financial Statements'!B65,0)</f>
        <v>0.99982596843132077</v>
      </c>
      <c r="L62" s="36">
        <f>IFERROR('Financial Statements'!D65/'Financial Statements'!B65,0)</f>
        <v>1.0035377289984064</v>
      </c>
      <c r="M62" s="36">
        <f>IFERROR('Financial Statements'!E65/'Financial Statements'!B65,0)</f>
        <v>2.0592707925122662</v>
      </c>
    </row>
    <row r="63" spans="1:13" ht="16.5" customHeight="1" x14ac:dyDescent="0.35">
      <c r="A63" s="50" t="s">
        <v>154</v>
      </c>
      <c r="B63" s="42">
        <f>'Financial Statements'!B66</f>
        <v>13053158</v>
      </c>
      <c r="C63" s="34">
        <f>IFERROR('Financial Statements'!B66/'Financial Statements'!B63,0)</f>
        <v>5.834997790300165E-2</v>
      </c>
      <c r="D63" s="42">
        <f>'Financial Statements'!C66</f>
        <v>17854636</v>
      </c>
      <c r="E63" s="34">
        <f>IFERROR('Financial Statements'!C66/'Financial Statements'!C63,0)</f>
        <v>6.9561214226247517E-2</v>
      </c>
      <c r="F63" s="42">
        <f>'Financial Statements'!D66</f>
        <v>20213109</v>
      </c>
      <c r="G63" s="34">
        <f>IFERROR('Financial Statements'!D66/'Financial Statements'!D63,0)</f>
        <v>8.5240340745971296E-2</v>
      </c>
      <c r="H63" s="39"/>
      <c r="I63" s="50" t="s">
        <v>154</v>
      </c>
      <c r="J63" s="40">
        <f>IFERROR('Financial Statements'!B66/'Financial Statements'!B66,0)</f>
        <v>1</v>
      </c>
      <c r="K63" s="34">
        <f>IFERROR('Financial Statements'!C66/'Financial Statements'!B66,0)</f>
        <v>1.3678403341168475</v>
      </c>
      <c r="L63" s="34">
        <f>IFERROR('Financial Statements'!D66/'Financial Statements'!B66,0)</f>
        <v>1.5485225107977703</v>
      </c>
      <c r="M63" s="34">
        <f>IFERROR('Financial Statements'!E66/'Financial Statements'!B66,0)</f>
        <v>2.9176891906157882</v>
      </c>
    </row>
    <row r="64" spans="1:13" ht="16.5" customHeight="1" x14ac:dyDescent="0.35">
      <c r="A64" s="51" t="s">
        <v>66</v>
      </c>
      <c r="B64" s="38">
        <f>'Financial Statements'!B67</f>
        <v>4578372</v>
      </c>
      <c r="C64" s="35">
        <f>IFERROR('Financial Statements'!B67/'Financial Statements'!B63,0)</f>
        <v>2.0466151182091066E-2</v>
      </c>
      <c r="D64" s="38">
        <f>'Financial Statements'!C67</f>
        <v>4760403</v>
      </c>
      <c r="E64" s="35">
        <f>IFERROR('Financial Statements'!C67/'Financial Statements'!C63,0)</f>
        <v>1.8546410740956653E-2</v>
      </c>
      <c r="F64" s="38">
        <f>'Financial Statements'!D67</f>
        <v>4723142</v>
      </c>
      <c r="G64" s="35">
        <f>IFERROR('Financial Statements'!D67/'Financial Statements'!D63,0)</f>
        <v>1.9917877723392693E-2</v>
      </c>
      <c r="H64" s="39"/>
      <c r="I64" s="51" t="s">
        <v>66</v>
      </c>
      <c r="J64" s="40">
        <f>IFERROR('Financial Statements'!B67/'Financial Statements'!B67,0)</f>
        <v>1</v>
      </c>
      <c r="K64" s="35">
        <f>IFERROR('Financial Statements'!C67/'Financial Statements'!B67,0)</f>
        <v>1.0397588924622114</v>
      </c>
      <c r="L64" s="35">
        <f>IFERROR('Financial Statements'!D67/'Financial Statements'!B67,0)</f>
        <v>1.0316204100496857</v>
      </c>
      <c r="M64" s="35">
        <f>IFERROR('Financial Statements'!E67/'Financial Statements'!B67,0)</f>
        <v>0</v>
      </c>
    </row>
    <row r="65" spans="1:13" ht="16.5" customHeight="1" x14ac:dyDescent="0.35">
      <c r="A65" s="46" t="s">
        <v>67</v>
      </c>
      <c r="B65" s="44">
        <f>'Financial Statements'!B68</f>
        <v>54665698</v>
      </c>
      <c r="C65" s="36">
        <f>IFERROR('Financial Statements'!B68/'Financial Statements'!B63,0)</f>
        <v>0.24436556045304605</v>
      </c>
      <c r="D65" s="44">
        <f>'Financial Statements'!C68</f>
        <v>49669607</v>
      </c>
      <c r="E65" s="36">
        <f>IFERROR('Financial Statements'!C68/'Financial Statements'!C63,0)</f>
        <v>0.19351154361592829</v>
      </c>
      <c r="F65" s="44">
        <f>'Financial Statements'!D68</f>
        <v>47616745</v>
      </c>
      <c r="G65" s="36">
        <f>IFERROR('Financial Statements'!D68/'Financial Statements'!D63,0)</f>
        <v>0.20080372440548483</v>
      </c>
      <c r="H65" s="39"/>
      <c r="I65" s="46" t="s">
        <v>67</v>
      </c>
      <c r="J65" s="40">
        <f>IFERROR('Financial Statements'!B68/'Financial Statements'!B68,0)</f>
        <v>1</v>
      </c>
      <c r="K65" s="36">
        <f>IFERROR('Financial Statements'!C68/'Financial Statements'!B68,0)</f>
        <v>0.90860647201468092</v>
      </c>
      <c r="L65" s="36">
        <f>IFERROR('Financial Statements'!D68/'Financial Statements'!B68,0)</f>
        <v>0.87105345293496483</v>
      </c>
      <c r="M65" s="36">
        <f>IFERROR('Financial Statements'!E68/'Financial Statements'!B68,0)</f>
        <v>2.0267647913322171</v>
      </c>
    </row>
    <row r="66" spans="1:13" ht="16.5" customHeight="1" x14ac:dyDescent="0.35">
      <c r="A66" s="51" t="s">
        <v>68</v>
      </c>
      <c r="B66" s="38">
        <f>'Financial Statements'!B69</f>
        <v>3714027</v>
      </c>
      <c r="C66" s="35">
        <f>IFERROR('Financial Statements'!B69/'Financial Statements'!B63,0)</f>
        <v>1.6602372650446083E-2</v>
      </c>
      <c r="D66" s="38">
        <f>'Financial Statements'!C69</f>
        <v>2925210</v>
      </c>
      <c r="E66" s="35">
        <f>IFERROR('Financial Statements'!C69/'Financial Statements'!C63,0)</f>
        <v>1.1396544822687031E-2</v>
      </c>
      <c r="F66" s="38">
        <f>'Financial Statements'!D69</f>
        <v>2550195</v>
      </c>
      <c r="G66" s="35">
        <f>IFERROR('Financial Statements'!D69/'Financial Statements'!D63,0)</f>
        <v>1.075438176129522E-2</v>
      </c>
      <c r="H66" s="39"/>
      <c r="I66" s="51" t="s">
        <v>68</v>
      </c>
      <c r="J66" s="40">
        <f>IFERROR('Financial Statements'!B69/'Financial Statements'!B69,0)</f>
        <v>1</v>
      </c>
      <c r="K66" s="35">
        <f>IFERROR('Financial Statements'!C69/'Financial Statements'!B69,0)</f>
        <v>0.78761139862472729</v>
      </c>
      <c r="L66" s="35">
        <f>IFERROR('Financial Statements'!D69/'Financial Statements'!B69,0)</f>
        <v>0.68663878857100391</v>
      </c>
      <c r="M66" s="35">
        <f>IFERROR('Financial Statements'!E69/'Financial Statements'!B69,0)</f>
        <v>5.0282582759899164</v>
      </c>
    </row>
    <row r="67" spans="1:13" ht="16.5" customHeight="1" x14ac:dyDescent="0.35">
      <c r="A67" s="50" t="s">
        <v>155</v>
      </c>
      <c r="B67" s="42">
        <f>'Financial Statements'!B70</f>
        <v>4369431</v>
      </c>
      <c r="C67" s="34">
        <f>IFERROR('Financial Statements'!B70/'Financial Statements'!B63,0)</f>
        <v>1.9532147109434392E-2</v>
      </c>
      <c r="D67" s="42">
        <f>'Financial Statements'!C70</f>
        <v>4513406</v>
      </c>
      <c r="E67" s="34">
        <f>IFERROR('Financial Statements'!C70/'Financial Statements'!C63,0)</f>
        <v>1.7584116621365505E-2</v>
      </c>
      <c r="F67" s="42">
        <f>'Financial Statements'!D70</f>
        <v>4589867</v>
      </c>
      <c r="G67" s="34">
        <f>IFERROR('Financial Statements'!D70/'Financial Statements'!D63,0)</f>
        <v>1.9355846102580707E-2</v>
      </c>
      <c r="H67" s="39"/>
      <c r="I67" s="50" t="s">
        <v>155</v>
      </c>
      <c r="J67" s="40">
        <f>IFERROR('Financial Statements'!B70/'Financial Statements'!B70,0)</f>
        <v>1</v>
      </c>
      <c r="K67" s="34">
        <f>IFERROR('Financial Statements'!C70/'Financial Statements'!B70,0)</f>
        <v>1.0329505146093394</v>
      </c>
      <c r="L67" s="34">
        <f>IFERROR('Financial Statements'!D70/'Financial Statements'!B70,0)</f>
        <v>1.0504495894316674</v>
      </c>
      <c r="M67" s="34">
        <f>IFERROR('Financial Statements'!E70/'Financial Statements'!B70,0)</f>
        <v>2.5726720481453991</v>
      </c>
    </row>
    <row r="68" spans="1:13" ht="16.5" customHeight="1" x14ac:dyDescent="0.35">
      <c r="A68" s="51" t="s">
        <v>70</v>
      </c>
      <c r="B68" s="38">
        <f>'Financial Statements'!B71</f>
        <v>1338964</v>
      </c>
      <c r="C68" s="35">
        <f>IFERROR('Financial Statements'!B71/'Financial Statements'!B63,0)</f>
        <v>5.9854113321017571E-3</v>
      </c>
      <c r="D68" s="38">
        <f>'Financial Statements'!C71</f>
        <v>4128579</v>
      </c>
      <c r="E68" s="35">
        <f>IFERROR('Financial Statements'!C71/'Financial Statements'!C63,0)</f>
        <v>1.6084840277280743E-2</v>
      </c>
      <c r="F68" s="38">
        <f>'Financial Statements'!D71</f>
        <v>6170739</v>
      </c>
      <c r="G68" s="35">
        <f>IFERROR('Financial Statements'!D71/'Financial Statements'!D63,0)</f>
        <v>2.6022513162841706E-2</v>
      </c>
      <c r="H68" s="39"/>
      <c r="I68" s="51" t="s">
        <v>70</v>
      </c>
      <c r="J68" s="40">
        <f>IFERROR('Financial Statements'!B71/'Financial Statements'!B71,0)</f>
        <v>1</v>
      </c>
      <c r="K68" s="35">
        <f>IFERROR('Financial Statements'!C71/'Financial Statements'!B71,0)</f>
        <v>3.0834129969140323</v>
      </c>
      <c r="L68" s="35">
        <f>IFERROR('Financial Statements'!D71/'Financial Statements'!B71,0)</f>
        <v>4.6085921652859971</v>
      </c>
      <c r="M68" s="35">
        <f>IFERROR('Financial Statements'!E71/'Financial Statements'!B71,0)</f>
        <v>5.3139860369658933</v>
      </c>
    </row>
    <row r="69" spans="1:13" ht="16.5" customHeight="1" x14ac:dyDescent="0.35">
      <c r="A69" s="50" t="s">
        <v>156</v>
      </c>
      <c r="B69" s="42">
        <f>'Financial Statements'!B72</f>
        <v>2978062</v>
      </c>
      <c r="C69" s="34">
        <f>IFERROR('Financial Statements'!B72/'Financial Statements'!B63,0)</f>
        <v>1.3312475945956442E-2</v>
      </c>
      <c r="D69" s="42">
        <f>'Financial Statements'!C72</f>
        <v>0</v>
      </c>
      <c r="E69" s="34">
        <f>IFERROR('Financial Statements'!C72/'Financial Statements'!C63,0)</f>
        <v>0</v>
      </c>
      <c r="F69" s="42">
        <f>'Financial Statements'!D72</f>
        <v>0</v>
      </c>
      <c r="G69" s="34">
        <f>IFERROR('Financial Statements'!D72/'Financial Statements'!D63,0)</f>
        <v>0</v>
      </c>
      <c r="H69" s="39"/>
      <c r="I69" s="50" t="s">
        <v>156</v>
      </c>
      <c r="J69" s="40">
        <f>IFERROR('Financial Statements'!B72/'Financial Statements'!B72,0)</f>
        <v>1</v>
      </c>
      <c r="K69" s="34">
        <f>IFERROR('Financial Statements'!C72/'Financial Statements'!B72,0)</f>
        <v>0</v>
      </c>
      <c r="L69" s="34">
        <f>IFERROR('Financial Statements'!D72/'Financial Statements'!B72,0)</f>
        <v>0</v>
      </c>
      <c r="M69" s="34">
        <f>IFERROR('Financial Statements'!E72/'Financial Statements'!B72,0)</f>
        <v>0</v>
      </c>
    </row>
    <row r="70" spans="1:13" ht="16.5" customHeight="1" x14ac:dyDescent="0.35">
      <c r="A70" s="51" t="s">
        <v>157</v>
      </c>
      <c r="B70" s="38">
        <f>'Financial Statements'!B73</f>
        <v>0</v>
      </c>
      <c r="C70" s="35">
        <f>IFERROR('Financial Statements'!B73/'Financial Statements'!B63,0)</f>
        <v>0</v>
      </c>
      <c r="D70" s="38">
        <f>'Financial Statements'!C73</f>
        <v>1203088</v>
      </c>
      <c r="E70" s="35">
        <f>IFERROR('Financial Statements'!C73/'Financial Statements'!C63,0)</f>
        <v>4.6872006856386022E-3</v>
      </c>
      <c r="F70" s="38">
        <f>'Financial Statements'!D73</f>
        <v>624715</v>
      </c>
      <c r="G70" s="35">
        <f>IFERROR('Financial Statements'!D73/'Financial Statements'!D63,0)</f>
        <v>2.6344744625440577E-3</v>
      </c>
      <c r="H70" s="39"/>
      <c r="I70" s="51" t="s">
        <v>157</v>
      </c>
      <c r="J70" s="40">
        <f>IFERROR('Financial Statements'!B73/'Financial Statements'!B73,0)</f>
        <v>0</v>
      </c>
      <c r="K70" s="35">
        <f>IFERROR('Financial Statements'!C73/'Financial Statements'!B73,0)</f>
        <v>0</v>
      </c>
      <c r="L70" s="35">
        <f>IFERROR('Financial Statements'!D73/'Financial Statements'!B73,0)</f>
        <v>0</v>
      </c>
      <c r="M70" s="35">
        <f>IFERROR('Financial Statements'!E73/'Financial Statements'!B73,0)</f>
        <v>0</v>
      </c>
    </row>
    <row r="71" spans="1:13" ht="16.5" customHeight="1" x14ac:dyDescent="0.35">
      <c r="A71" s="46" t="s">
        <v>73</v>
      </c>
      <c r="B71" s="44">
        <f>'Financial Statements'!B74</f>
        <v>49693268</v>
      </c>
      <c r="C71" s="36">
        <f>IFERROR('Financial Statements'!B74/'Financial Statements'!B63,0)</f>
        <v>0.22213789871599954</v>
      </c>
      <c r="D71" s="44">
        <f>'Financial Statements'!C74</f>
        <v>45155920</v>
      </c>
      <c r="E71" s="36">
        <f>IFERROR('Financial Statements'!C74/'Financial Statements'!C63,0)</f>
        <v>0.17592633222560766</v>
      </c>
      <c r="F71" s="44">
        <f>'Financial Statements'!D74</f>
        <v>40031049</v>
      </c>
      <c r="G71" s="36">
        <f>IFERROR('Financial Statements'!D74/'Financial Statements'!D63,0)</f>
        <v>0.1688142213639017</v>
      </c>
      <c r="H71" s="39"/>
      <c r="I71" s="46" t="s">
        <v>73</v>
      </c>
      <c r="J71" s="40">
        <f>IFERROR('Financial Statements'!B74/'Financial Statements'!B74,0)</f>
        <v>1</v>
      </c>
      <c r="K71" s="36">
        <f>IFERROR('Financial Statements'!C74/'Financial Statements'!B74,0)</f>
        <v>0.90869290383558599</v>
      </c>
      <c r="L71" s="36">
        <f>IFERROR('Financial Statements'!D74/'Financial Statements'!B74,0)</f>
        <v>0.80556281788511075</v>
      </c>
      <c r="M71" s="36">
        <f>IFERROR('Financial Statements'!E74/'Financial Statements'!B74,0)</f>
        <v>2.7428647477964216</v>
      </c>
    </row>
    <row r="72" spans="1:13" ht="16.5" customHeight="1" x14ac:dyDescent="0.35">
      <c r="A72" s="51" t="s">
        <v>74</v>
      </c>
      <c r="B72" s="38">
        <f>'Financial Statements'!B75</f>
        <v>23502166</v>
      </c>
      <c r="C72" s="35">
        <f>IFERROR('Financial Statements'!B75/'Financial Statements'!B63,0)</f>
        <v>0.10505893415008664</v>
      </c>
      <c r="D72" s="38">
        <f>'Financial Statements'!C75</f>
        <v>16895682</v>
      </c>
      <c r="E72" s="35">
        <f>IFERROR('Financial Statements'!C75/'Financial Statements'!C63,0)</f>
        <v>6.5825153483977716E-2</v>
      </c>
      <c r="F72" s="38">
        <f>'Financial Statements'!D75</f>
        <v>17403005</v>
      </c>
      <c r="G72" s="35">
        <f>IFERROR('Financial Statements'!D75/'Financial Statements'!D63,0)</f>
        <v>7.3389901385474257E-2</v>
      </c>
      <c r="H72" s="39"/>
      <c r="I72" s="51" t="s">
        <v>74</v>
      </c>
      <c r="J72" s="40">
        <f>IFERROR('Financial Statements'!B75/'Financial Statements'!B75,0)</f>
        <v>1</v>
      </c>
      <c r="K72" s="35">
        <f>IFERROR('Financial Statements'!C75/'Financial Statements'!B75,0)</f>
        <v>0.71889893042198749</v>
      </c>
      <c r="L72" s="35">
        <f>IFERROR('Financial Statements'!D75/'Financial Statements'!B75,0)</f>
        <v>0.74048515358116351</v>
      </c>
      <c r="M72" s="35">
        <f>IFERROR('Financial Statements'!E75/'Financial Statements'!B75,0)</f>
        <v>2.1800314915655008</v>
      </c>
    </row>
    <row r="73" spans="1:13" ht="16.5" customHeight="1" x14ac:dyDescent="0.35">
      <c r="A73" s="46" t="s">
        <v>75</v>
      </c>
      <c r="B73" s="44">
        <f>'Financial Statements'!B76</f>
        <v>26191102</v>
      </c>
      <c r="C73" s="36">
        <f>IFERROR('Financial Statements'!B76/'Financial Statements'!B63,0)</f>
        <v>0.11707896456591289</v>
      </c>
      <c r="D73" s="44">
        <f>'Financial Statements'!C76</f>
        <v>28260238</v>
      </c>
      <c r="E73" s="36">
        <f>IFERROR('Financial Statements'!C76/'Financial Statements'!C63,0)</f>
        <v>0.11010117874162995</v>
      </c>
      <c r="F73" s="44">
        <f>'Financial Statements'!D76</f>
        <v>22628044</v>
      </c>
      <c r="G73" s="36">
        <f>IFERROR('Financial Statements'!D76/'Financial Statements'!D63,0)</f>
        <v>9.542431997842743E-2</v>
      </c>
      <c r="H73" s="39"/>
      <c r="I73" s="46" t="s">
        <v>75</v>
      </c>
      <c r="J73" s="40">
        <f>IFERROR('Financial Statements'!B76/'Financial Statements'!B76,0)</f>
        <v>1</v>
      </c>
      <c r="K73" s="36">
        <f>IFERROR('Financial Statements'!C76/'Financial Statements'!B76,0)</f>
        <v>1.0790014868408362</v>
      </c>
      <c r="L73" s="36">
        <f>IFERROR('Financial Statements'!D76/'Financial Statements'!B76,0)</f>
        <v>0.86395921790537866</v>
      </c>
      <c r="M73" s="36">
        <f>IFERROR('Financial Statements'!E76/'Financial Statements'!B76,0)</f>
        <v>3.2479141580220641</v>
      </c>
    </row>
  </sheetData>
  <mergeCells count="19">
    <mergeCell ref="A1:M1"/>
    <mergeCell ref="A2:G2"/>
    <mergeCell ref="I2:M2"/>
    <mergeCell ref="A3:G3"/>
    <mergeCell ref="I3:M3"/>
    <mergeCell ref="A5:G5"/>
    <mergeCell ref="I5:M5"/>
    <mergeCell ref="A12:G12"/>
    <mergeCell ref="I12:M12"/>
    <mergeCell ref="A26:G26"/>
    <mergeCell ref="I26:M26"/>
    <mergeCell ref="A58:G58"/>
    <mergeCell ref="I58:M58"/>
    <mergeCell ref="A27:G27"/>
    <mergeCell ref="I27:M27"/>
    <mergeCell ref="A37:G37"/>
    <mergeCell ref="I37:M37"/>
    <mergeCell ref="A44:G44"/>
    <mergeCell ref="I44:M4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68"/>
  <sheetViews>
    <sheetView showGridLines="0" tabSelected="1" zoomScale="91" zoomScaleNormal="100" workbookViewId="0">
      <selection activeCell="C5" sqref="C5"/>
    </sheetView>
  </sheetViews>
  <sheetFormatPr defaultColWidth="8.6328125" defaultRowHeight="14.5" x14ac:dyDescent="0.35"/>
  <cols>
    <col min="1" max="1" width="14" customWidth="1"/>
    <col min="2" max="3" width="16" customWidth="1"/>
    <col min="4" max="4" width="2" customWidth="1"/>
    <col min="5" max="5" width="14" customWidth="1"/>
    <col min="6" max="7" width="16" customWidth="1"/>
    <col min="8" max="8" width="2" customWidth="1"/>
    <col min="9" max="9" width="30" customWidth="1"/>
    <col min="10" max="11" width="20" customWidth="1"/>
  </cols>
  <sheetData>
    <row r="1" spans="1:11" ht="27.75" customHeight="1" x14ac:dyDescent="0.35">
      <c r="A1" s="53" t="s">
        <v>158</v>
      </c>
      <c r="B1" s="53"/>
      <c r="C1" s="53"/>
      <c r="D1" s="53"/>
      <c r="E1" s="53"/>
      <c r="F1" s="53"/>
      <c r="G1" s="53"/>
      <c r="H1" s="53"/>
      <c r="I1" s="53"/>
      <c r="J1" s="53"/>
      <c r="K1" s="53"/>
    </row>
    <row r="2" spans="1:11" x14ac:dyDescent="0.35">
      <c r="A2" s="54"/>
      <c r="B2" s="54"/>
      <c r="C2" s="54"/>
      <c r="D2" s="54"/>
      <c r="E2" s="54"/>
      <c r="F2" s="54"/>
      <c r="G2" s="54"/>
      <c r="H2" s="54"/>
      <c r="I2" s="54"/>
      <c r="J2" s="54"/>
      <c r="K2" s="54"/>
    </row>
    <row r="3" spans="1:11" ht="19.5" customHeight="1" x14ac:dyDescent="0.35">
      <c r="A3" s="1" t="s">
        <v>159</v>
      </c>
      <c r="B3" s="1" t="s">
        <v>160</v>
      </c>
      <c r="C3" s="1" t="s">
        <v>161</v>
      </c>
      <c r="E3" s="1" t="s">
        <v>159</v>
      </c>
      <c r="F3" s="1" t="s">
        <v>162</v>
      </c>
      <c r="G3" s="1" t="s">
        <v>163</v>
      </c>
      <c r="I3" s="1" t="s">
        <v>164</v>
      </c>
      <c r="J3" s="1" t="s">
        <v>165</v>
      </c>
      <c r="K3" s="1" t="s">
        <v>166</v>
      </c>
    </row>
    <row r="4" spans="1:11" ht="18" customHeight="1" x14ac:dyDescent="0.35">
      <c r="A4" s="21" t="s">
        <v>167</v>
      </c>
      <c r="B4" s="22">
        <v>102.5</v>
      </c>
      <c r="C4" s="23" t="s">
        <v>168</v>
      </c>
      <c r="E4" s="21" t="s">
        <v>167</v>
      </c>
      <c r="F4" s="22">
        <v>142.30000000000001</v>
      </c>
      <c r="G4" s="23" t="s">
        <v>168</v>
      </c>
      <c r="I4" s="24" t="s">
        <v>169</v>
      </c>
      <c r="J4" s="25">
        <f>AVERAGE(C5:C68)</f>
        <v>1.0600600665772921E-2</v>
      </c>
      <c r="K4" s="25">
        <f>AVERAGE(G5:G68)</f>
        <v>8.6995729461620923E-3</v>
      </c>
    </row>
    <row r="5" spans="1:11" ht="18" customHeight="1" x14ac:dyDescent="0.35">
      <c r="A5" s="21" t="s">
        <v>170</v>
      </c>
      <c r="B5" s="22">
        <v>104.2</v>
      </c>
      <c r="C5" s="26">
        <f t="shared" ref="C5:C36" si="0">(B5-B4)/B4</f>
        <v>1.6585365853658565E-2</v>
      </c>
      <c r="E5" s="21" t="s">
        <v>170</v>
      </c>
      <c r="F5" s="22">
        <v>145.1</v>
      </c>
      <c r="G5" s="26">
        <f t="shared" ref="G5:G36" si="1">(F5-F4)/F4</f>
        <v>1.9676739283204375E-2</v>
      </c>
      <c r="I5" s="7" t="s">
        <v>171</v>
      </c>
      <c r="J5" s="27">
        <f>STDEV(C5:C68)</f>
        <v>1.3810068310271253E-2</v>
      </c>
      <c r="K5" s="27">
        <f>STDEV(G5:G68)</f>
        <v>1.1522924991585906E-2</v>
      </c>
    </row>
    <row r="6" spans="1:11" ht="18" customHeight="1" x14ac:dyDescent="0.35">
      <c r="A6" s="21" t="s">
        <v>172</v>
      </c>
      <c r="B6" s="22">
        <v>103.8</v>
      </c>
      <c r="C6" s="26">
        <f t="shared" si="0"/>
        <v>-3.8387715930902656E-3</v>
      </c>
      <c r="E6" s="21" t="s">
        <v>172</v>
      </c>
      <c r="F6" s="22">
        <v>144.6</v>
      </c>
      <c r="G6" s="26">
        <f t="shared" si="1"/>
        <v>-3.4458993797381117E-3</v>
      </c>
      <c r="I6" s="28" t="s">
        <v>173</v>
      </c>
      <c r="J6" s="27">
        <f>SQRT(VAR(C5:C68))</f>
        <v>1.3810068310271253E-2</v>
      </c>
      <c r="K6" s="27">
        <f>SQRT(VAR(G5:G68))</f>
        <v>1.1522924991585906E-2</v>
      </c>
    </row>
    <row r="7" spans="1:11" ht="18" customHeight="1" x14ac:dyDescent="0.35">
      <c r="A7" s="21" t="s">
        <v>174</v>
      </c>
      <c r="B7" s="22">
        <v>106.1</v>
      </c>
      <c r="C7" s="26">
        <f t="shared" si="0"/>
        <v>2.2157996146435426E-2</v>
      </c>
      <c r="E7" s="21" t="s">
        <v>174</v>
      </c>
      <c r="F7" s="22">
        <v>147.80000000000001</v>
      </c>
      <c r="G7" s="26">
        <f t="shared" si="1"/>
        <v>2.2130013831258764E-2</v>
      </c>
      <c r="I7" s="7" t="s">
        <v>175</v>
      </c>
      <c r="J7" s="29">
        <f>VAR(C5:C68)</f>
        <v>1.9071798673435831E-4</v>
      </c>
      <c r="K7" s="29">
        <f>VAR(G5:G68)</f>
        <v>1.3277780036171505E-4</v>
      </c>
    </row>
    <row r="8" spans="1:11" ht="18" customHeight="1" x14ac:dyDescent="0.35">
      <c r="A8" s="21" t="s">
        <v>176</v>
      </c>
      <c r="B8" s="22">
        <v>108.3</v>
      </c>
      <c r="C8" s="26">
        <f t="shared" si="0"/>
        <v>2.0735155513666382E-2</v>
      </c>
      <c r="E8" s="21" t="s">
        <v>176</v>
      </c>
      <c r="F8" s="22">
        <v>150.19999999999999</v>
      </c>
      <c r="G8" s="26">
        <f t="shared" si="1"/>
        <v>1.623815967523665E-2</v>
      </c>
      <c r="I8" s="28" t="s">
        <v>177</v>
      </c>
      <c r="J8" s="9">
        <f>IFERROR(J5/J4,"N/A")</f>
        <v>1.3027628099284052</v>
      </c>
      <c r="K8" s="9">
        <f>IFERROR(K5/K4,"N/A")</f>
        <v>1.3245391541511662</v>
      </c>
    </row>
    <row r="9" spans="1:11" ht="18" customHeight="1" x14ac:dyDescent="0.35">
      <c r="A9" s="21" t="s">
        <v>178</v>
      </c>
      <c r="B9" s="22">
        <v>107.6</v>
      </c>
      <c r="C9" s="26">
        <f t="shared" si="0"/>
        <v>-6.4635272391505346E-3</v>
      </c>
      <c r="E9" s="21" t="s">
        <v>178</v>
      </c>
      <c r="F9" s="22">
        <v>149.5</v>
      </c>
      <c r="G9" s="26">
        <f t="shared" si="1"/>
        <v>-4.6604527296936664E-3</v>
      </c>
      <c r="I9" s="7" t="s">
        <v>179</v>
      </c>
      <c r="J9" s="27">
        <f>MIN(C5:C68)</f>
        <v>-1.2853470437017995E-2</v>
      </c>
      <c r="K9" s="27">
        <f>MIN(G5:G68)</f>
        <v>-8.7609511889862671E-3</v>
      </c>
    </row>
    <row r="10" spans="1:11" ht="18" customHeight="1" x14ac:dyDescent="0.35">
      <c r="A10" s="21" t="s">
        <v>180</v>
      </c>
      <c r="B10" s="22">
        <v>110.2</v>
      </c>
      <c r="C10" s="26">
        <f t="shared" si="0"/>
        <v>2.4163568773234282E-2</v>
      </c>
      <c r="E10" s="21" t="s">
        <v>180</v>
      </c>
      <c r="F10" s="22">
        <v>152.9</v>
      </c>
      <c r="G10" s="26">
        <f t="shared" si="1"/>
        <v>2.2742474916387999E-2</v>
      </c>
      <c r="I10" s="28" t="s">
        <v>181</v>
      </c>
      <c r="J10" s="27">
        <f>MAX(C5:C68)</f>
        <v>2.7777777777777801E-2</v>
      </c>
      <c r="K10" s="27">
        <f>MAX(G5:G68)</f>
        <v>2.2742474916387999E-2</v>
      </c>
    </row>
    <row r="11" spans="1:11" ht="18" customHeight="1" x14ac:dyDescent="0.35">
      <c r="A11" s="21" t="s">
        <v>182</v>
      </c>
      <c r="B11" s="22">
        <v>112.5</v>
      </c>
      <c r="C11" s="26">
        <f t="shared" si="0"/>
        <v>2.0871143375680554E-2</v>
      </c>
      <c r="E11" s="21" t="s">
        <v>182</v>
      </c>
      <c r="F11" s="22">
        <v>155.4</v>
      </c>
      <c r="G11" s="26">
        <f t="shared" si="1"/>
        <v>1.6350555918901243E-2</v>
      </c>
      <c r="I11" s="7" t="s">
        <v>183</v>
      </c>
      <c r="J11" s="27">
        <f>J10-J9</f>
        <v>4.0631248214795794E-2</v>
      </c>
      <c r="K11" s="27">
        <f>K10-K9</f>
        <v>3.1503426105374266E-2</v>
      </c>
    </row>
    <row r="12" spans="1:11" ht="18" customHeight="1" x14ac:dyDescent="0.35">
      <c r="A12" s="21" t="s">
        <v>184</v>
      </c>
      <c r="B12" s="22">
        <v>111.8</v>
      </c>
      <c r="C12" s="26">
        <f t="shared" si="0"/>
        <v>-6.2222222222222479E-3</v>
      </c>
      <c r="E12" s="21" t="s">
        <v>184</v>
      </c>
      <c r="F12" s="22">
        <v>154.80000000000001</v>
      </c>
      <c r="G12" s="26">
        <f t="shared" si="1"/>
        <v>-3.8610038610038242E-3</v>
      </c>
      <c r="I12" s="28" t="s">
        <v>185</v>
      </c>
      <c r="J12" s="30">
        <f>COUNT(C5:C68)</f>
        <v>64</v>
      </c>
      <c r="K12" s="30">
        <f>COUNT(G5:G68)</f>
        <v>64</v>
      </c>
    </row>
    <row r="13" spans="1:11" ht="18" customHeight="1" x14ac:dyDescent="0.35">
      <c r="A13" s="21" t="s">
        <v>186</v>
      </c>
      <c r="B13" s="22">
        <v>114.3</v>
      </c>
      <c r="C13" s="26">
        <f t="shared" si="0"/>
        <v>2.2361359570661897E-2</v>
      </c>
      <c r="E13" s="21" t="s">
        <v>186</v>
      </c>
      <c r="F13" s="22">
        <v>157.30000000000001</v>
      </c>
      <c r="G13" s="26">
        <f t="shared" si="1"/>
        <v>1.614987080103359E-2</v>
      </c>
      <c r="I13" s="9"/>
      <c r="J13" s="9"/>
      <c r="K13" s="9"/>
    </row>
    <row r="14" spans="1:11" ht="18" customHeight="1" x14ac:dyDescent="0.35">
      <c r="A14" s="21" t="s">
        <v>187</v>
      </c>
      <c r="B14" s="22">
        <v>116.7</v>
      </c>
      <c r="C14" s="26">
        <f t="shared" si="0"/>
        <v>2.0997375328084041E-2</v>
      </c>
      <c r="E14" s="21" t="s">
        <v>187</v>
      </c>
      <c r="F14" s="22">
        <v>159.80000000000001</v>
      </c>
      <c r="G14" s="26">
        <f t="shared" si="1"/>
        <v>1.5893197711379529E-2</v>
      </c>
      <c r="I14" s="9"/>
      <c r="J14" s="9"/>
      <c r="K14" s="9"/>
    </row>
    <row r="15" spans="1:11" ht="15" customHeight="1" x14ac:dyDescent="0.35">
      <c r="A15" s="21" t="s">
        <v>188</v>
      </c>
      <c r="B15" s="22">
        <v>115.2</v>
      </c>
      <c r="C15" s="26">
        <f>(B15-B14)/B14</f>
        <v>-1.2853470437017995E-2</v>
      </c>
      <c r="E15" s="21" t="s">
        <v>188</v>
      </c>
      <c r="F15" s="22">
        <v>158.4</v>
      </c>
      <c r="G15" s="26">
        <f>(F15-F14)/F14</f>
        <v>-8.7609511889862671E-3</v>
      </c>
    </row>
    <row r="16" spans="1:11" ht="19.5" customHeight="1" x14ac:dyDescent="0.35">
      <c r="A16" s="21" t="s">
        <v>189</v>
      </c>
      <c r="B16" s="22">
        <v>118.4</v>
      </c>
      <c r="C16" s="26">
        <f t="shared" si="0"/>
        <v>2.7777777777777801E-2</v>
      </c>
      <c r="E16" s="21" t="s">
        <v>189</v>
      </c>
      <c r="F16" s="22">
        <v>161.9</v>
      </c>
      <c r="G16" s="26">
        <f t="shared" si="1"/>
        <v>2.2095959595959596E-2</v>
      </c>
      <c r="I16" s="55" t="s">
        <v>190</v>
      </c>
      <c r="J16" s="55"/>
      <c r="K16" s="55"/>
    </row>
    <row r="17" spans="1:11" ht="18" customHeight="1" x14ac:dyDescent="0.35">
      <c r="A17" s="21" t="s">
        <v>191</v>
      </c>
      <c r="B17" s="22">
        <v>120.1</v>
      </c>
      <c r="C17" s="26">
        <f t="shared" si="0"/>
        <v>1.4358108108108012E-2</v>
      </c>
      <c r="E17" s="21" t="s">
        <v>191</v>
      </c>
      <c r="F17" s="22">
        <v>164.3</v>
      </c>
      <c r="G17" s="26">
        <f t="shared" si="1"/>
        <v>1.482396541074741E-2</v>
      </c>
      <c r="I17" s="7" t="s">
        <v>192</v>
      </c>
      <c r="J17" s="75">
        <f>AVERAGE(C5:C68)</f>
        <v>1.0600600665772921E-2</v>
      </c>
      <c r="K17" s="76"/>
    </row>
    <row r="18" spans="1:11" ht="18" customHeight="1" x14ac:dyDescent="0.35">
      <c r="A18" s="21" t="s">
        <v>193</v>
      </c>
      <c r="B18" s="22">
        <v>119.6</v>
      </c>
      <c r="C18" s="26">
        <f t="shared" si="0"/>
        <v>-4.163197335553705E-3</v>
      </c>
      <c r="E18" s="21" t="s">
        <v>193</v>
      </c>
      <c r="F18" s="22">
        <v>163.69999999999999</v>
      </c>
      <c r="G18" s="26">
        <f t="shared" si="1"/>
        <v>-3.6518563603166322E-3</v>
      </c>
      <c r="I18" s="7" t="s">
        <v>175</v>
      </c>
      <c r="J18" s="77">
        <f>VAR(C5:C68)</f>
        <v>1.9071798673435831E-4</v>
      </c>
      <c r="K18" s="78"/>
    </row>
    <row r="19" spans="1:11" ht="18" customHeight="1" x14ac:dyDescent="0.35">
      <c r="A19" s="21" t="s">
        <v>194</v>
      </c>
      <c r="B19" s="22">
        <v>122.3</v>
      </c>
      <c r="C19" s="26">
        <f t="shared" si="0"/>
        <v>2.2575250836120424E-2</v>
      </c>
      <c r="E19" s="21" t="s">
        <v>194</v>
      </c>
      <c r="F19" s="22">
        <v>166.5</v>
      </c>
      <c r="G19" s="26">
        <f t="shared" si="1"/>
        <v>1.7104459376909052E-2</v>
      </c>
      <c r="I19" s="7" t="s">
        <v>195</v>
      </c>
      <c r="J19" s="75">
        <f>SQRT(J18)</f>
        <v>1.3810068310271253E-2</v>
      </c>
      <c r="K19" s="76"/>
    </row>
    <row r="20" spans="1:11" ht="18" customHeight="1" x14ac:dyDescent="0.35">
      <c r="A20" s="21" t="s">
        <v>196</v>
      </c>
      <c r="B20" s="22">
        <v>124.8</v>
      </c>
      <c r="C20" s="26">
        <f t="shared" si="0"/>
        <v>2.0441537203597711E-2</v>
      </c>
      <c r="E20" s="21" t="s">
        <v>196</v>
      </c>
      <c r="F20" s="22">
        <v>169.1</v>
      </c>
      <c r="G20" s="26">
        <f t="shared" si="1"/>
        <v>1.5615615615615582E-2</v>
      </c>
      <c r="I20" s="31"/>
      <c r="J20" s="75"/>
      <c r="K20" s="76"/>
    </row>
    <row r="21" spans="1:11" ht="18" customHeight="1" x14ac:dyDescent="0.35">
      <c r="A21" s="21" t="s">
        <v>197</v>
      </c>
      <c r="B21" s="22">
        <v>123.5</v>
      </c>
      <c r="C21" s="26">
        <f t="shared" si="0"/>
        <v>-1.0416666666666644E-2</v>
      </c>
      <c r="E21" s="21" t="s">
        <v>197</v>
      </c>
      <c r="F21" s="22">
        <v>167.8</v>
      </c>
      <c r="G21" s="26">
        <f t="shared" si="1"/>
        <v>-7.6877587226492194E-3</v>
      </c>
      <c r="I21" s="31"/>
      <c r="J21" s="79"/>
      <c r="K21" s="80"/>
    </row>
    <row r="22" spans="1:11" ht="15" customHeight="1" x14ac:dyDescent="0.35">
      <c r="A22" s="21" t="s">
        <v>198</v>
      </c>
      <c r="B22" s="22">
        <v>126.9</v>
      </c>
      <c r="C22" s="26">
        <f t="shared" si="0"/>
        <v>2.7530364372469682E-2</v>
      </c>
      <c r="E22" s="21" t="s">
        <v>198</v>
      </c>
      <c r="F22" s="22">
        <v>171.2</v>
      </c>
      <c r="G22" s="26">
        <f t="shared" si="1"/>
        <v>2.0262216924910471E-2</v>
      </c>
    </row>
    <row r="23" spans="1:11" ht="15" customHeight="1" x14ac:dyDescent="0.35">
      <c r="A23" s="21" t="s">
        <v>199</v>
      </c>
      <c r="B23" s="22">
        <v>129.19999999999999</v>
      </c>
      <c r="C23" s="26">
        <f t="shared" si="0"/>
        <v>1.8124507486209477E-2</v>
      </c>
      <c r="E23" s="21" t="s">
        <v>199</v>
      </c>
      <c r="F23" s="22">
        <v>173.9</v>
      </c>
      <c r="G23" s="26">
        <f t="shared" si="1"/>
        <v>1.577102803738328E-2</v>
      </c>
    </row>
    <row r="24" spans="1:11" ht="15" customHeight="1" x14ac:dyDescent="0.35">
      <c r="A24" s="21" t="s">
        <v>200</v>
      </c>
      <c r="B24" s="22">
        <v>128.4</v>
      </c>
      <c r="C24" s="26">
        <f t="shared" si="0"/>
        <v>-6.1919504643961534E-3</v>
      </c>
      <c r="E24" s="21" t="s">
        <v>200</v>
      </c>
      <c r="F24" s="22">
        <v>172.5</v>
      </c>
      <c r="G24" s="26">
        <f t="shared" si="1"/>
        <v>-8.0506037952846783E-3</v>
      </c>
      <c r="I24" s="31"/>
    </row>
    <row r="25" spans="1:11" ht="15" customHeight="1" x14ac:dyDescent="0.35">
      <c r="A25" s="21" t="s">
        <v>201</v>
      </c>
      <c r="B25" s="22">
        <v>131.6</v>
      </c>
      <c r="C25" s="26">
        <f t="shared" si="0"/>
        <v>2.4922118380062214E-2</v>
      </c>
      <c r="E25" s="21" t="s">
        <v>201</v>
      </c>
      <c r="F25" s="22">
        <v>176</v>
      </c>
      <c r="G25" s="26">
        <f t="shared" si="1"/>
        <v>2.0289855072463767E-2</v>
      </c>
    </row>
    <row r="26" spans="1:11" ht="15" customHeight="1" x14ac:dyDescent="0.35">
      <c r="A26" s="21" t="s">
        <v>202</v>
      </c>
      <c r="B26" s="22">
        <v>134.1</v>
      </c>
      <c r="C26" s="26">
        <f t="shared" si="0"/>
        <v>1.8996960486322188E-2</v>
      </c>
      <c r="E26" s="21" t="s">
        <v>202</v>
      </c>
      <c r="F26" s="22">
        <v>178.6</v>
      </c>
      <c r="G26" s="26">
        <f t="shared" si="1"/>
        <v>1.4772727272727241E-2</v>
      </c>
    </row>
    <row r="27" spans="1:11" ht="15" customHeight="1" x14ac:dyDescent="0.35">
      <c r="A27" s="21" t="s">
        <v>203</v>
      </c>
      <c r="B27" s="22">
        <v>133.19999999999999</v>
      </c>
      <c r="C27" s="26">
        <f t="shared" si="0"/>
        <v>-6.7114093959731967E-3</v>
      </c>
      <c r="E27" s="21" t="s">
        <v>203</v>
      </c>
      <c r="F27" s="22">
        <v>177.1</v>
      </c>
      <c r="G27" s="26">
        <f t="shared" si="1"/>
        <v>-8.3986562150055993E-3</v>
      </c>
    </row>
    <row r="28" spans="1:11" ht="15" customHeight="1" x14ac:dyDescent="0.35">
      <c r="A28" s="21" t="s">
        <v>204</v>
      </c>
      <c r="B28" s="22">
        <v>136.5</v>
      </c>
      <c r="C28" s="26">
        <f t="shared" si="0"/>
        <v>2.4774774774774862E-2</v>
      </c>
      <c r="E28" s="21" t="s">
        <v>204</v>
      </c>
      <c r="F28" s="22">
        <v>180.8</v>
      </c>
      <c r="G28" s="26">
        <f t="shared" si="1"/>
        <v>2.0892151326934033E-2</v>
      </c>
    </row>
    <row r="29" spans="1:11" ht="15" customHeight="1" x14ac:dyDescent="0.35">
      <c r="A29" s="21" t="s">
        <v>205</v>
      </c>
      <c r="B29" s="22">
        <v>138.9</v>
      </c>
      <c r="C29" s="26">
        <f t="shared" si="0"/>
        <v>1.7582417582417624E-2</v>
      </c>
      <c r="E29" s="21" t="s">
        <v>205</v>
      </c>
      <c r="F29" s="22">
        <v>183.2</v>
      </c>
      <c r="G29" s="26">
        <f t="shared" si="1"/>
        <v>1.3274336283185714E-2</v>
      </c>
    </row>
    <row r="30" spans="1:11" ht="15" customHeight="1" x14ac:dyDescent="0.35">
      <c r="A30" s="21" t="s">
        <v>206</v>
      </c>
      <c r="B30" s="22">
        <v>137.4</v>
      </c>
      <c r="C30" s="26">
        <f t="shared" si="0"/>
        <v>-1.079913606911447E-2</v>
      </c>
      <c r="E30" s="21" t="s">
        <v>206</v>
      </c>
      <c r="F30" s="22">
        <v>181.9</v>
      </c>
      <c r="G30" s="26">
        <f t="shared" si="1"/>
        <v>-7.0960698689955404E-3</v>
      </c>
    </row>
    <row r="31" spans="1:11" ht="15" customHeight="1" x14ac:dyDescent="0.35">
      <c r="A31" s="21" t="s">
        <v>207</v>
      </c>
      <c r="B31" s="22">
        <v>140.80000000000001</v>
      </c>
      <c r="C31" s="26">
        <f t="shared" si="0"/>
        <v>2.4745269286754044E-2</v>
      </c>
      <c r="E31" s="21" t="s">
        <v>207</v>
      </c>
      <c r="F31" s="22">
        <v>185.4</v>
      </c>
      <c r="G31" s="26">
        <f t="shared" si="1"/>
        <v>1.9241341396371632E-2</v>
      </c>
    </row>
    <row r="32" spans="1:11" ht="15" customHeight="1" x14ac:dyDescent="0.35">
      <c r="A32" s="21" t="s">
        <v>208</v>
      </c>
      <c r="B32" s="22">
        <v>143.19999999999999</v>
      </c>
      <c r="C32" s="26">
        <f t="shared" si="0"/>
        <v>1.7045454545454381E-2</v>
      </c>
      <c r="E32" s="21" t="s">
        <v>208</v>
      </c>
      <c r="F32" s="22">
        <v>187.9</v>
      </c>
      <c r="G32" s="26">
        <f t="shared" si="1"/>
        <v>1.3484358144552318E-2</v>
      </c>
    </row>
    <row r="33" spans="1:7" ht="15" customHeight="1" x14ac:dyDescent="0.35">
      <c r="A33" s="21" t="s">
        <v>209</v>
      </c>
      <c r="B33" s="22">
        <v>141.9</v>
      </c>
      <c r="C33" s="26">
        <f t="shared" si="0"/>
        <v>-9.0782122905026744E-3</v>
      </c>
      <c r="E33" s="21" t="s">
        <v>209</v>
      </c>
      <c r="F33" s="22">
        <v>186.5</v>
      </c>
      <c r="G33" s="26">
        <f t="shared" si="1"/>
        <v>-7.4507716870676191E-3</v>
      </c>
    </row>
    <row r="34" spans="1:7" ht="15" customHeight="1" x14ac:dyDescent="0.35">
      <c r="A34" s="21" t="s">
        <v>210</v>
      </c>
      <c r="B34" s="22">
        <v>145.30000000000001</v>
      </c>
      <c r="C34" s="26">
        <f t="shared" si="0"/>
        <v>2.3960535588442605E-2</v>
      </c>
      <c r="E34" s="21" t="s">
        <v>210</v>
      </c>
      <c r="F34" s="22">
        <v>190.1</v>
      </c>
      <c r="G34" s="26">
        <f t="shared" si="1"/>
        <v>1.9302949061662168E-2</v>
      </c>
    </row>
    <row r="35" spans="1:7" ht="15" customHeight="1" x14ac:dyDescent="0.35">
      <c r="A35" s="21" t="s">
        <v>211</v>
      </c>
      <c r="B35" s="22">
        <v>147.80000000000001</v>
      </c>
      <c r="C35" s="26">
        <f t="shared" si="0"/>
        <v>1.7205781142463867E-2</v>
      </c>
      <c r="E35" s="21" t="s">
        <v>211</v>
      </c>
      <c r="F35" s="22">
        <v>192.6</v>
      </c>
      <c r="G35" s="26">
        <f t="shared" si="1"/>
        <v>1.3150973172014729E-2</v>
      </c>
    </row>
    <row r="36" spans="1:7" ht="15" customHeight="1" x14ac:dyDescent="0.35">
      <c r="A36" s="21" t="s">
        <v>212</v>
      </c>
      <c r="B36" s="22">
        <v>146.4</v>
      </c>
      <c r="C36" s="26">
        <f t="shared" si="0"/>
        <v>-9.4722598105548422E-3</v>
      </c>
      <c r="E36" s="21" t="s">
        <v>212</v>
      </c>
      <c r="F36" s="22">
        <v>191.2</v>
      </c>
      <c r="G36" s="26">
        <f t="shared" si="1"/>
        <v>-7.2689511941848688E-3</v>
      </c>
    </row>
    <row r="37" spans="1:7" ht="15" customHeight="1" x14ac:dyDescent="0.35">
      <c r="A37" s="21" t="s">
        <v>213</v>
      </c>
      <c r="B37" s="22">
        <v>150.1</v>
      </c>
      <c r="C37" s="26">
        <f t="shared" ref="C37:C68" si="2">(B37-B36)/B36</f>
        <v>2.5273224043715768E-2</v>
      </c>
      <c r="E37" s="21" t="s">
        <v>213</v>
      </c>
      <c r="F37" s="22">
        <v>195</v>
      </c>
      <c r="G37" s="26">
        <f t="shared" ref="G37:G68" si="3">(F37-F36)/F36</f>
        <v>1.9874476987447761E-2</v>
      </c>
    </row>
    <row r="38" spans="1:7" ht="15" customHeight="1" x14ac:dyDescent="0.35">
      <c r="A38" s="21" t="s">
        <v>214</v>
      </c>
      <c r="B38" s="22">
        <v>152.6</v>
      </c>
      <c r="C38" s="26">
        <f t="shared" si="2"/>
        <v>1.6655562958027982E-2</v>
      </c>
      <c r="E38" s="21" t="s">
        <v>214</v>
      </c>
      <c r="F38" s="22">
        <v>197.6</v>
      </c>
      <c r="G38" s="26">
        <f t="shared" si="3"/>
        <v>1.3333333333333305E-2</v>
      </c>
    </row>
    <row r="39" spans="1:7" ht="15" customHeight="1" x14ac:dyDescent="0.35">
      <c r="A39" s="21" t="s">
        <v>215</v>
      </c>
      <c r="B39" s="22">
        <v>151.19999999999999</v>
      </c>
      <c r="C39" s="26">
        <f t="shared" si="2"/>
        <v>-9.1743119266055415E-3</v>
      </c>
      <c r="E39" s="21" t="s">
        <v>215</v>
      </c>
      <c r="F39" s="22">
        <v>196.1</v>
      </c>
      <c r="G39" s="26">
        <f t="shared" si="3"/>
        <v>-7.5910931174089074E-3</v>
      </c>
    </row>
    <row r="40" spans="1:7" ht="15" customHeight="1" x14ac:dyDescent="0.35">
      <c r="A40" s="21" t="s">
        <v>216</v>
      </c>
      <c r="B40" s="22">
        <v>154.9</v>
      </c>
      <c r="C40" s="26">
        <f t="shared" si="2"/>
        <v>2.4470899470899584E-2</v>
      </c>
      <c r="E40" s="21" t="s">
        <v>216</v>
      </c>
      <c r="F40" s="22">
        <v>199.8</v>
      </c>
      <c r="G40" s="26">
        <f t="shared" si="3"/>
        <v>1.8867924528301973E-2</v>
      </c>
    </row>
    <row r="41" spans="1:7" ht="15" customHeight="1" x14ac:dyDescent="0.35">
      <c r="A41" s="21" t="s">
        <v>217</v>
      </c>
      <c r="B41" s="22">
        <v>157.30000000000001</v>
      </c>
      <c r="C41" s="26">
        <f t="shared" si="2"/>
        <v>1.5493867010974858E-2</v>
      </c>
      <c r="E41" s="21" t="s">
        <v>217</v>
      </c>
      <c r="F41" s="22">
        <v>202.4</v>
      </c>
      <c r="G41" s="26">
        <f t="shared" si="3"/>
        <v>1.3013013013012983E-2</v>
      </c>
    </row>
    <row r="42" spans="1:7" ht="15" customHeight="1" x14ac:dyDescent="0.35">
      <c r="A42" s="21" t="s">
        <v>218</v>
      </c>
      <c r="B42" s="22">
        <v>155.80000000000001</v>
      </c>
      <c r="C42" s="26">
        <f t="shared" si="2"/>
        <v>-9.5359186268277173E-3</v>
      </c>
      <c r="E42" s="21" t="s">
        <v>218</v>
      </c>
      <c r="F42" s="22">
        <v>200.8</v>
      </c>
      <c r="G42" s="26">
        <f t="shared" si="3"/>
        <v>-7.9051383399209203E-3</v>
      </c>
    </row>
    <row r="43" spans="1:7" ht="15" customHeight="1" x14ac:dyDescent="0.35">
      <c r="A43" s="21" t="s">
        <v>219</v>
      </c>
      <c r="B43" s="22">
        <v>159.4</v>
      </c>
      <c r="C43" s="26">
        <f t="shared" si="2"/>
        <v>2.3106546854942196E-2</v>
      </c>
      <c r="E43" s="21" t="s">
        <v>219</v>
      </c>
      <c r="F43" s="22">
        <v>204.6</v>
      </c>
      <c r="G43" s="26">
        <f t="shared" si="3"/>
        <v>1.8924302788844535E-2</v>
      </c>
    </row>
    <row r="44" spans="1:7" ht="15" customHeight="1" x14ac:dyDescent="0.35">
      <c r="A44" s="21" t="s">
        <v>220</v>
      </c>
      <c r="B44" s="22">
        <v>161.9</v>
      </c>
      <c r="C44" s="26">
        <f t="shared" si="2"/>
        <v>1.5683814303638643E-2</v>
      </c>
      <c r="E44" s="21" t="s">
        <v>220</v>
      </c>
      <c r="F44" s="22">
        <v>207.2</v>
      </c>
      <c r="G44" s="26">
        <f t="shared" si="3"/>
        <v>1.2707722385141713E-2</v>
      </c>
    </row>
    <row r="45" spans="1:7" ht="15" customHeight="1" x14ac:dyDescent="0.35">
      <c r="A45" s="21" t="s">
        <v>221</v>
      </c>
      <c r="B45" s="22">
        <v>160.5</v>
      </c>
      <c r="C45" s="26">
        <f t="shared" si="2"/>
        <v>-8.6473131562693362E-3</v>
      </c>
      <c r="E45" s="21" t="s">
        <v>221</v>
      </c>
      <c r="F45" s="22">
        <v>205.6</v>
      </c>
      <c r="G45" s="26">
        <f t="shared" si="3"/>
        <v>-7.7220077220076953E-3</v>
      </c>
    </row>
    <row r="46" spans="1:7" ht="15" customHeight="1" x14ac:dyDescent="0.35">
      <c r="A46" s="21" t="s">
        <v>222</v>
      </c>
      <c r="B46" s="22">
        <v>164.2</v>
      </c>
      <c r="C46" s="26">
        <f t="shared" si="2"/>
        <v>2.3052959501557561E-2</v>
      </c>
      <c r="E46" s="21" t="s">
        <v>222</v>
      </c>
      <c r="F46" s="22">
        <v>209.4</v>
      </c>
      <c r="G46" s="26">
        <f t="shared" si="3"/>
        <v>1.8482490272373597E-2</v>
      </c>
    </row>
    <row r="47" spans="1:7" ht="15" customHeight="1" x14ac:dyDescent="0.35">
      <c r="A47" s="21" t="s">
        <v>223</v>
      </c>
      <c r="B47" s="22">
        <v>166.8</v>
      </c>
      <c r="C47" s="26">
        <f t="shared" si="2"/>
        <v>1.5834348355663965E-2</v>
      </c>
      <c r="E47" s="21" t="s">
        <v>223</v>
      </c>
      <c r="F47" s="22">
        <v>212.1</v>
      </c>
      <c r="G47" s="26">
        <f t="shared" si="3"/>
        <v>1.2893982808022867E-2</v>
      </c>
    </row>
    <row r="48" spans="1:7" ht="15" customHeight="1" x14ac:dyDescent="0.35">
      <c r="A48" s="21" t="s">
        <v>224</v>
      </c>
      <c r="B48" s="22">
        <v>165.3</v>
      </c>
      <c r="C48" s="26">
        <f t="shared" si="2"/>
        <v>-8.9928057553956831E-3</v>
      </c>
      <c r="E48" s="21" t="s">
        <v>224</v>
      </c>
      <c r="F48" s="22">
        <v>210.4</v>
      </c>
      <c r="G48" s="26">
        <f t="shared" si="3"/>
        <v>-8.0150872230079617E-3</v>
      </c>
    </row>
    <row r="49" spans="1:7" ht="15" customHeight="1" x14ac:dyDescent="0.35">
      <c r="A49" s="21" t="s">
        <v>225</v>
      </c>
      <c r="B49" s="22">
        <v>169.1</v>
      </c>
      <c r="C49" s="26">
        <f t="shared" si="2"/>
        <v>2.2988505747126332E-2</v>
      </c>
      <c r="E49" s="21" t="s">
        <v>225</v>
      </c>
      <c r="F49" s="22">
        <v>214.3</v>
      </c>
      <c r="G49" s="26">
        <f t="shared" si="3"/>
        <v>1.8536121673003829E-2</v>
      </c>
    </row>
    <row r="50" spans="1:7" ht="15" customHeight="1" x14ac:dyDescent="0.35">
      <c r="A50" s="21" t="s">
        <v>226</v>
      </c>
      <c r="B50" s="22">
        <v>171.6</v>
      </c>
      <c r="C50" s="26">
        <f t="shared" si="2"/>
        <v>1.4784151389710232E-2</v>
      </c>
      <c r="E50" s="21" t="s">
        <v>226</v>
      </c>
      <c r="F50" s="22">
        <v>216.9</v>
      </c>
      <c r="G50" s="26">
        <f t="shared" si="3"/>
        <v>1.2132524498366748E-2</v>
      </c>
    </row>
    <row r="51" spans="1:7" ht="15" customHeight="1" x14ac:dyDescent="0.35">
      <c r="A51" s="21" t="s">
        <v>227</v>
      </c>
      <c r="B51" s="22">
        <v>170.2</v>
      </c>
      <c r="C51" s="26">
        <f t="shared" si="2"/>
        <v>-8.1585081585081928E-3</v>
      </c>
      <c r="E51" s="21" t="s">
        <v>227</v>
      </c>
      <c r="F51" s="22">
        <v>215.2</v>
      </c>
      <c r="G51" s="26">
        <f t="shared" si="3"/>
        <v>-7.8377132319041812E-3</v>
      </c>
    </row>
    <row r="52" spans="1:7" ht="15" customHeight="1" x14ac:dyDescent="0.35">
      <c r="A52" s="21" t="s">
        <v>228</v>
      </c>
      <c r="B52" s="22">
        <v>173.9</v>
      </c>
      <c r="C52" s="26">
        <f t="shared" si="2"/>
        <v>2.1739130434782709E-2</v>
      </c>
      <c r="E52" s="21" t="s">
        <v>228</v>
      </c>
      <c r="F52" s="22">
        <v>219.1</v>
      </c>
      <c r="G52" s="26">
        <f t="shared" si="3"/>
        <v>1.8122676579925678E-2</v>
      </c>
    </row>
    <row r="53" spans="1:7" ht="15" customHeight="1" x14ac:dyDescent="0.35">
      <c r="A53" s="21" t="s">
        <v>229</v>
      </c>
      <c r="B53" s="22">
        <v>176.4</v>
      </c>
      <c r="C53" s="26">
        <f t="shared" si="2"/>
        <v>1.437607820586544E-2</v>
      </c>
      <c r="E53" s="21" t="s">
        <v>229</v>
      </c>
      <c r="F53" s="22">
        <v>221.8</v>
      </c>
      <c r="G53" s="26">
        <f t="shared" si="3"/>
        <v>1.2323140118667354E-2</v>
      </c>
    </row>
    <row r="54" spans="1:7" ht="15" customHeight="1" x14ac:dyDescent="0.35">
      <c r="A54" s="21" t="s">
        <v>230</v>
      </c>
      <c r="B54" s="22">
        <v>174.8</v>
      </c>
      <c r="C54" s="26">
        <f t="shared" si="2"/>
        <v>-9.0702947845804661E-3</v>
      </c>
      <c r="E54" s="21" t="s">
        <v>230</v>
      </c>
      <c r="F54" s="22">
        <v>219.9</v>
      </c>
      <c r="G54" s="26">
        <f t="shared" si="3"/>
        <v>-8.5662759242561125E-3</v>
      </c>
    </row>
    <row r="55" spans="1:7" ht="15" customHeight="1" x14ac:dyDescent="0.35">
      <c r="A55" s="21" t="s">
        <v>231</v>
      </c>
      <c r="B55" s="22">
        <v>178.5</v>
      </c>
      <c r="C55" s="26">
        <f t="shared" si="2"/>
        <v>2.116704805491984E-2</v>
      </c>
      <c r="E55" s="21" t="s">
        <v>231</v>
      </c>
      <c r="F55" s="22">
        <v>223.8</v>
      </c>
      <c r="G55" s="26">
        <f t="shared" si="3"/>
        <v>1.7735334242837679E-2</v>
      </c>
    </row>
    <row r="56" spans="1:7" ht="15" customHeight="1" x14ac:dyDescent="0.35">
      <c r="A56" s="21" t="s">
        <v>232</v>
      </c>
      <c r="B56" s="22">
        <v>181.1</v>
      </c>
      <c r="C56" s="26">
        <f t="shared" si="2"/>
        <v>1.456582633053218E-2</v>
      </c>
      <c r="E56" s="21" t="s">
        <v>232</v>
      </c>
      <c r="F56" s="22">
        <v>226.5</v>
      </c>
      <c r="G56" s="26">
        <f t="shared" si="3"/>
        <v>1.2064343163538823E-2</v>
      </c>
    </row>
    <row r="57" spans="1:7" ht="15" customHeight="1" x14ac:dyDescent="0.35">
      <c r="A57" s="21" t="s">
        <v>233</v>
      </c>
      <c r="B57" s="22">
        <v>179.6</v>
      </c>
      <c r="C57" s="26">
        <f t="shared" si="2"/>
        <v>-8.2827167310877969E-3</v>
      </c>
      <c r="E57" s="21" t="s">
        <v>233</v>
      </c>
      <c r="F57" s="22">
        <v>224.8</v>
      </c>
      <c r="G57" s="26">
        <f t="shared" si="3"/>
        <v>-7.5055187637968592E-3</v>
      </c>
    </row>
    <row r="58" spans="1:7" ht="15" customHeight="1" x14ac:dyDescent="0.35">
      <c r="A58" s="21" t="s">
        <v>234</v>
      </c>
      <c r="B58" s="22">
        <v>183.4</v>
      </c>
      <c r="C58" s="26">
        <f t="shared" si="2"/>
        <v>2.1158129175946613E-2</v>
      </c>
      <c r="E58" s="21" t="s">
        <v>234</v>
      </c>
      <c r="F58" s="22">
        <v>228.8</v>
      </c>
      <c r="G58" s="26">
        <f t="shared" si="3"/>
        <v>1.779359430604982E-2</v>
      </c>
    </row>
    <row r="59" spans="1:7" ht="15" customHeight="1" x14ac:dyDescent="0.35">
      <c r="A59" s="21" t="s">
        <v>235</v>
      </c>
      <c r="B59" s="22">
        <v>185.9</v>
      </c>
      <c r="C59" s="26">
        <f t="shared" si="2"/>
        <v>1.3631406761177753E-2</v>
      </c>
      <c r="E59" s="21" t="s">
        <v>235</v>
      </c>
      <c r="F59" s="22">
        <v>231.6</v>
      </c>
      <c r="G59" s="26">
        <f t="shared" si="3"/>
        <v>1.2237762237762163E-2</v>
      </c>
    </row>
    <row r="60" spans="1:7" ht="15" customHeight="1" x14ac:dyDescent="0.35">
      <c r="A60" s="21" t="s">
        <v>236</v>
      </c>
      <c r="B60" s="22">
        <v>184.2</v>
      </c>
      <c r="C60" s="26">
        <f t="shared" si="2"/>
        <v>-9.1447014523938514E-3</v>
      </c>
      <c r="E60" s="21" t="s">
        <v>236</v>
      </c>
      <c r="F60" s="22">
        <v>229.7</v>
      </c>
      <c r="G60" s="26">
        <f t="shared" si="3"/>
        <v>-8.2037996545768817E-3</v>
      </c>
    </row>
    <row r="61" spans="1:7" ht="15" customHeight="1" x14ac:dyDescent="0.35">
      <c r="A61" s="21" t="s">
        <v>237</v>
      </c>
      <c r="B61" s="22">
        <v>188.1</v>
      </c>
      <c r="C61" s="26">
        <f t="shared" si="2"/>
        <v>2.1172638436482118E-2</v>
      </c>
      <c r="E61" s="21" t="s">
        <v>237</v>
      </c>
      <c r="F61" s="22">
        <v>233.8</v>
      </c>
      <c r="G61" s="26">
        <f t="shared" si="3"/>
        <v>1.784936874183728E-2</v>
      </c>
    </row>
    <row r="62" spans="1:7" ht="15" customHeight="1" x14ac:dyDescent="0.35">
      <c r="A62" s="21" t="s">
        <v>238</v>
      </c>
      <c r="B62" s="22">
        <v>190.6</v>
      </c>
      <c r="C62" s="26">
        <f t="shared" si="2"/>
        <v>1.3290802764486975E-2</v>
      </c>
      <c r="E62" s="21" t="s">
        <v>238</v>
      </c>
      <c r="F62" s="22">
        <v>236.6</v>
      </c>
      <c r="G62" s="26">
        <f t="shared" si="3"/>
        <v>1.1976047904191543E-2</v>
      </c>
    </row>
    <row r="63" spans="1:7" ht="15" customHeight="1" x14ac:dyDescent="0.35">
      <c r="A63" s="21" t="s">
        <v>239</v>
      </c>
      <c r="B63" s="22">
        <v>188.9</v>
      </c>
      <c r="C63" s="26">
        <f t="shared" si="2"/>
        <v>-8.9192025183630046E-3</v>
      </c>
      <c r="E63" s="21" t="s">
        <v>239</v>
      </c>
      <c r="F63" s="22">
        <v>234.6</v>
      </c>
      <c r="G63" s="26">
        <f t="shared" si="3"/>
        <v>-8.4530853761623E-3</v>
      </c>
    </row>
    <row r="64" spans="1:7" ht="15" customHeight="1" x14ac:dyDescent="0.35">
      <c r="A64" s="21" t="s">
        <v>240</v>
      </c>
      <c r="B64" s="22">
        <v>192.8</v>
      </c>
      <c r="C64" s="26">
        <f t="shared" si="2"/>
        <v>2.0645844362096377E-2</v>
      </c>
      <c r="E64" s="21" t="s">
        <v>240</v>
      </c>
      <c r="F64" s="22">
        <v>238.7</v>
      </c>
      <c r="G64" s="26">
        <f t="shared" si="3"/>
        <v>1.7476555839727171E-2</v>
      </c>
    </row>
    <row r="65" spans="1:7" ht="15" customHeight="1" x14ac:dyDescent="0.35">
      <c r="A65" s="21" t="s">
        <v>241</v>
      </c>
      <c r="B65" s="22">
        <v>195.3</v>
      </c>
      <c r="C65" s="26">
        <f t="shared" si="2"/>
        <v>1.2966804979253111E-2</v>
      </c>
      <c r="E65" s="21" t="s">
        <v>241</v>
      </c>
      <c r="F65" s="22">
        <v>241.5</v>
      </c>
      <c r="G65" s="26">
        <f t="shared" si="3"/>
        <v>1.1730205278592424E-2</v>
      </c>
    </row>
    <row r="66" spans="1:7" ht="15" customHeight="1" x14ac:dyDescent="0.35">
      <c r="A66" s="21" t="s">
        <v>242</v>
      </c>
      <c r="B66" s="22">
        <v>193.6</v>
      </c>
      <c r="C66" s="26">
        <f t="shared" si="2"/>
        <v>-8.7045570916539534E-3</v>
      </c>
      <c r="E66" s="21" t="s">
        <v>242</v>
      </c>
      <c r="F66" s="22">
        <v>239.5</v>
      </c>
      <c r="G66" s="26">
        <f t="shared" si="3"/>
        <v>-8.2815734989648039E-3</v>
      </c>
    </row>
    <row r="67" spans="1:7" ht="15" customHeight="1" x14ac:dyDescent="0.35">
      <c r="A67" s="21" t="s">
        <v>243</v>
      </c>
      <c r="B67" s="22">
        <v>197.5</v>
      </c>
      <c r="C67" s="26">
        <f t="shared" si="2"/>
        <v>2.0144628099173584E-2</v>
      </c>
      <c r="E67" s="21" t="s">
        <v>243</v>
      </c>
      <c r="F67" s="22">
        <v>243.8</v>
      </c>
      <c r="G67" s="26">
        <f t="shared" si="3"/>
        <v>1.7954070981210903E-2</v>
      </c>
    </row>
    <row r="68" spans="1:7" ht="15" customHeight="1" x14ac:dyDescent="0.35">
      <c r="A68" s="21" t="s">
        <v>244</v>
      </c>
      <c r="B68" s="22">
        <v>200.1</v>
      </c>
      <c r="C68" s="26">
        <f t="shared" si="2"/>
        <v>1.3164556962025288E-2</v>
      </c>
      <c r="E68" s="21" t="s">
        <v>244</v>
      </c>
      <c r="F68" s="22">
        <v>246.7</v>
      </c>
      <c r="G68" s="26">
        <f t="shared" si="3"/>
        <v>1.1894995898277182E-2</v>
      </c>
    </row>
  </sheetData>
  <mergeCells count="8">
    <mergeCell ref="A1:K1"/>
    <mergeCell ref="A2:K2"/>
    <mergeCell ref="I16:K16"/>
    <mergeCell ref="J17:K17"/>
    <mergeCell ref="J18:K18"/>
    <mergeCell ref="J19:K19"/>
    <mergeCell ref="J20:K20"/>
    <mergeCell ref="J21:K2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6"/>
  <sheetViews>
    <sheetView showGridLines="0" zoomScaleNormal="100" workbookViewId="0"/>
  </sheetViews>
  <sheetFormatPr defaultColWidth="8.6328125" defaultRowHeight="14.5" x14ac:dyDescent="0.35"/>
  <cols>
    <col min="1" max="1" width="26" customWidth="1"/>
    <col min="2" max="2" width="88" customWidth="1"/>
  </cols>
  <sheetData>
    <row r="1" spans="1:2" ht="30" customHeight="1" x14ac:dyDescent="0.35">
      <c r="A1" s="62" t="s">
        <v>245</v>
      </c>
      <c r="B1" s="62"/>
    </row>
    <row r="2" spans="1:2" ht="21.75" customHeight="1" x14ac:dyDescent="0.35">
      <c r="A2" s="74" t="s">
        <v>246</v>
      </c>
      <c r="B2" s="74"/>
    </row>
    <row r="3" spans="1:2" ht="90" customHeight="1" x14ac:dyDescent="0.35">
      <c r="A3" s="32" t="s">
        <v>85</v>
      </c>
      <c r="B3" s="33" t="s">
        <v>247</v>
      </c>
    </row>
    <row r="4" spans="1:2" ht="90" customHeight="1" x14ac:dyDescent="0.35">
      <c r="A4" s="32" t="s">
        <v>248</v>
      </c>
      <c r="B4" s="33" t="s">
        <v>249</v>
      </c>
    </row>
    <row r="5" spans="1:2" ht="21.75" customHeight="1" x14ac:dyDescent="0.35">
      <c r="A5" s="74" t="s">
        <v>250</v>
      </c>
      <c r="B5" s="74"/>
    </row>
    <row r="6" spans="1:2" ht="90" customHeight="1" x14ac:dyDescent="0.35">
      <c r="A6" s="32" t="s">
        <v>251</v>
      </c>
      <c r="B6" s="33" t="s">
        <v>252</v>
      </c>
    </row>
    <row r="7" spans="1:2" ht="90" customHeight="1" x14ac:dyDescent="0.35">
      <c r="A7" s="32" t="s">
        <v>253</v>
      </c>
      <c r="B7" s="33" t="s">
        <v>254</v>
      </c>
    </row>
    <row r="8" spans="1:2" ht="90" customHeight="1" x14ac:dyDescent="0.35">
      <c r="A8" s="32" t="s">
        <v>255</v>
      </c>
      <c r="B8" s="33" t="s">
        <v>256</v>
      </c>
    </row>
    <row r="9" spans="1:2" ht="21.75" customHeight="1" x14ac:dyDescent="0.35">
      <c r="A9" s="74" t="s">
        <v>257</v>
      </c>
      <c r="B9" s="74"/>
    </row>
    <row r="10" spans="1:2" ht="90" customHeight="1" x14ac:dyDescent="0.35">
      <c r="A10" s="32" t="s">
        <v>258</v>
      </c>
      <c r="B10" s="33" t="s">
        <v>259</v>
      </c>
    </row>
    <row r="11" spans="1:2" ht="90" customHeight="1" x14ac:dyDescent="0.35">
      <c r="A11" s="32" t="s">
        <v>260</v>
      </c>
      <c r="B11" s="33" t="s">
        <v>261</v>
      </c>
    </row>
    <row r="12" spans="1:2" ht="90" customHeight="1" x14ac:dyDescent="0.35">
      <c r="A12" s="32" t="s">
        <v>262</v>
      </c>
      <c r="B12" s="33" t="s">
        <v>263</v>
      </c>
    </row>
    <row r="13" spans="1:2" ht="90" customHeight="1" x14ac:dyDescent="0.35">
      <c r="A13" s="32" t="s">
        <v>264</v>
      </c>
      <c r="B13" s="33" t="s">
        <v>265</v>
      </c>
    </row>
    <row r="14" spans="1:2" ht="21.75" customHeight="1" x14ac:dyDescent="0.35">
      <c r="A14" s="74" t="s">
        <v>266</v>
      </c>
      <c r="B14" s="74"/>
    </row>
    <row r="15" spans="1:2" ht="90" customHeight="1" x14ac:dyDescent="0.35">
      <c r="A15" s="32" t="s">
        <v>267</v>
      </c>
      <c r="B15" s="33" t="s">
        <v>268</v>
      </c>
    </row>
    <row r="16" spans="1:2" ht="90" customHeight="1" x14ac:dyDescent="0.35">
      <c r="A16" s="32" t="s">
        <v>269</v>
      </c>
      <c r="B16" s="33" t="s">
        <v>270</v>
      </c>
    </row>
    <row r="17" spans="1:2" ht="90" customHeight="1" x14ac:dyDescent="0.35">
      <c r="A17" s="32" t="s">
        <v>271</v>
      </c>
      <c r="B17" s="33" t="s">
        <v>272</v>
      </c>
    </row>
    <row r="18" spans="1:2" ht="90" customHeight="1" x14ac:dyDescent="0.35">
      <c r="A18" s="32" t="s">
        <v>125</v>
      </c>
      <c r="B18" s="33" t="s">
        <v>273</v>
      </c>
    </row>
    <row r="19" spans="1:2" ht="21.75" customHeight="1" x14ac:dyDescent="0.35">
      <c r="A19" s="74" t="s">
        <v>274</v>
      </c>
      <c r="B19" s="74"/>
    </row>
    <row r="20" spans="1:2" ht="90" customHeight="1" x14ac:dyDescent="0.35">
      <c r="A20" s="32" t="s">
        <v>275</v>
      </c>
      <c r="B20" s="33" t="s">
        <v>276</v>
      </c>
    </row>
    <row r="21" spans="1:2" ht="90" customHeight="1" x14ac:dyDescent="0.35">
      <c r="A21" s="32" t="s">
        <v>277</v>
      </c>
      <c r="B21" s="33" t="s">
        <v>278</v>
      </c>
    </row>
    <row r="22" spans="1:2" ht="21.75" customHeight="1" x14ac:dyDescent="0.35">
      <c r="A22" s="74" t="s">
        <v>279</v>
      </c>
      <c r="B22" s="74"/>
    </row>
    <row r="23" spans="1:2" ht="87.75" customHeight="1" x14ac:dyDescent="0.35">
      <c r="A23" s="32" t="s">
        <v>280</v>
      </c>
      <c r="B23" s="33" t="s">
        <v>281</v>
      </c>
    </row>
    <row r="24" spans="1:2" ht="64.5" customHeight="1" x14ac:dyDescent="0.35">
      <c r="A24" s="32" t="s">
        <v>282</v>
      </c>
      <c r="B24" s="33" t="s">
        <v>283</v>
      </c>
    </row>
    <row r="25" spans="1:2" ht="90" customHeight="1" x14ac:dyDescent="0.35">
      <c r="A25" s="32" t="s">
        <v>284</v>
      </c>
      <c r="B25" s="33" t="s">
        <v>285</v>
      </c>
    </row>
    <row r="26" spans="1:2" ht="75" customHeight="1" x14ac:dyDescent="0.35">
      <c r="A26" s="32" t="s">
        <v>286</v>
      </c>
      <c r="B26" s="33" t="s">
        <v>287</v>
      </c>
    </row>
  </sheetData>
  <mergeCells count="7">
    <mergeCell ref="A19:B19"/>
    <mergeCell ref="A22:B22"/>
    <mergeCell ref="A1:B1"/>
    <mergeCell ref="A2:B2"/>
    <mergeCell ref="A5:B5"/>
    <mergeCell ref="A9:B9"/>
    <mergeCell ref="A14:B1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Financial Statements</vt:lpstr>
      <vt:lpstr>Ratios</vt:lpstr>
      <vt:lpstr>Vertical + Horizontal</vt:lpstr>
      <vt:lpstr>Risk &amp; Return</vt:lpstr>
      <vt:lpstr>Analysis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Muhammad Shahzaib</cp:lastModifiedBy>
  <cp:revision>2</cp:revision>
  <dcterms:created xsi:type="dcterms:W3CDTF">2026-05-07T05:33:26Z</dcterms:created>
  <dcterms:modified xsi:type="dcterms:W3CDTF">2026-05-17T08:38:03Z</dcterms:modified>
  <dc:language>en-US</dc:language>
</cp:coreProperties>
</file>